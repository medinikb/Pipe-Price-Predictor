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Old Desktop Backup\E drive\EED_2025\Cost Estimation\Software\Inhouse\SAP PO\NREP_Material PO_from_2019_8_May_2026\public-cs-pipe-price-calculator\"/>
    </mc:Choice>
  </mc:AlternateContent>
  <xr:revisionPtr revIDLastSave="0" documentId="13_ncr:1_{DA4FBA95-3B50-47A6-83CC-0C0A77F6FC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 Material Data Revised" sheetId="1" r:id="rId1"/>
    <sheet name="Revision Basi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3" i="1" l="1"/>
  <c r="H253" i="1"/>
  <c r="G253" i="1"/>
  <c r="F253" i="1"/>
  <c r="H252" i="1"/>
  <c r="G252" i="1"/>
  <c r="F252" i="1"/>
  <c r="I252" i="1" s="1"/>
  <c r="I251" i="1"/>
  <c r="H251" i="1"/>
  <c r="G251" i="1"/>
  <c r="F251" i="1"/>
  <c r="I250" i="1"/>
  <c r="H250" i="1"/>
  <c r="G250" i="1"/>
  <c r="F250" i="1"/>
  <c r="H249" i="1"/>
  <c r="G249" i="1"/>
  <c r="F249" i="1"/>
  <c r="I249" i="1" s="1"/>
  <c r="I248" i="1"/>
  <c r="H248" i="1"/>
  <c r="G248" i="1"/>
  <c r="F248" i="1"/>
  <c r="I247" i="1"/>
  <c r="H247" i="1"/>
  <c r="G247" i="1"/>
  <c r="F247" i="1"/>
  <c r="H246" i="1"/>
  <c r="G246" i="1"/>
  <c r="F246" i="1"/>
  <c r="I246" i="1" s="1"/>
  <c r="I245" i="1"/>
  <c r="H245" i="1"/>
  <c r="G245" i="1"/>
  <c r="F245" i="1"/>
  <c r="I244" i="1"/>
  <c r="H244" i="1"/>
  <c r="G244" i="1"/>
  <c r="F244" i="1"/>
  <c r="H243" i="1"/>
  <c r="G243" i="1"/>
  <c r="F243" i="1"/>
  <c r="I243" i="1" s="1"/>
  <c r="I242" i="1"/>
  <c r="H242" i="1"/>
  <c r="G242" i="1"/>
  <c r="F242" i="1"/>
  <c r="I241" i="1"/>
  <c r="H241" i="1"/>
  <c r="G241" i="1"/>
  <c r="F241" i="1"/>
  <c r="H240" i="1"/>
  <c r="G240" i="1"/>
  <c r="F240" i="1"/>
  <c r="I240" i="1" s="1"/>
  <c r="I239" i="1"/>
  <c r="H239" i="1"/>
  <c r="G239" i="1"/>
  <c r="F239" i="1"/>
  <c r="I238" i="1"/>
  <c r="H238" i="1"/>
  <c r="G238" i="1"/>
  <c r="F238" i="1"/>
  <c r="H237" i="1"/>
  <c r="G237" i="1"/>
  <c r="F237" i="1"/>
  <c r="I237" i="1" s="1"/>
  <c r="I236" i="1"/>
  <c r="H236" i="1"/>
  <c r="G236" i="1"/>
  <c r="F236" i="1"/>
  <c r="I235" i="1"/>
  <c r="H235" i="1"/>
  <c r="G235" i="1"/>
  <c r="F235" i="1"/>
  <c r="H234" i="1"/>
  <c r="G234" i="1"/>
  <c r="F234" i="1"/>
  <c r="I234" i="1" s="1"/>
  <c r="I233" i="1"/>
  <c r="H233" i="1"/>
  <c r="G233" i="1"/>
  <c r="F233" i="1"/>
  <c r="I232" i="1"/>
  <c r="H232" i="1"/>
  <c r="G232" i="1"/>
  <c r="F232" i="1"/>
  <c r="H231" i="1"/>
  <c r="G231" i="1"/>
  <c r="F231" i="1"/>
  <c r="I231" i="1" s="1"/>
  <c r="I230" i="1"/>
  <c r="H230" i="1"/>
  <c r="G230" i="1"/>
  <c r="F230" i="1"/>
  <c r="I229" i="1"/>
  <c r="H229" i="1"/>
  <c r="G229" i="1"/>
  <c r="F229" i="1"/>
  <c r="H228" i="1"/>
  <c r="G228" i="1"/>
  <c r="F228" i="1"/>
  <c r="I228" i="1" s="1"/>
  <c r="I227" i="1"/>
  <c r="H227" i="1"/>
  <c r="G227" i="1"/>
  <c r="F227" i="1"/>
  <c r="I226" i="1"/>
  <c r="H226" i="1"/>
  <c r="G226" i="1"/>
  <c r="F226" i="1"/>
  <c r="H225" i="1"/>
  <c r="G225" i="1"/>
  <c r="F225" i="1"/>
  <c r="I225" i="1" s="1"/>
  <c r="I224" i="1"/>
  <c r="H224" i="1"/>
  <c r="G224" i="1"/>
  <c r="F224" i="1"/>
  <c r="I223" i="1"/>
  <c r="H223" i="1"/>
  <c r="G223" i="1"/>
  <c r="F223" i="1"/>
  <c r="H222" i="1"/>
  <c r="G222" i="1"/>
  <c r="F222" i="1"/>
  <c r="I222" i="1" s="1"/>
  <c r="I221" i="1"/>
  <c r="H221" i="1"/>
  <c r="G221" i="1"/>
  <c r="F221" i="1"/>
  <c r="I220" i="1"/>
  <c r="H220" i="1"/>
  <c r="G220" i="1"/>
  <c r="F220" i="1"/>
  <c r="H219" i="1"/>
  <c r="G219" i="1"/>
  <c r="F219" i="1"/>
  <c r="I219" i="1" s="1"/>
  <c r="I218" i="1"/>
  <c r="H218" i="1"/>
  <c r="G218" i="1"/>
  <c r="F218" i="1"/>
  <c r="I217" i="1"/>
  <c r="H217" i="1"/>
  <c r="G217" i="1"/>
  <c r="F217" i="1"/>
  <c r="H216" i="1"/>
  <c r="G216" i="1"/>
  <c r="F216" i="1"/>
  <c r="I216" i="1" s="1"/>
  <c r="I215" i="1"/>
  <c r="H215" i="1"/>
  <c r="G215" i="1"/>
  <c r="F215" i="1"/>
  <c r="I214" i="1"/>
  <c r="H214" i="1"/>
  <c r="G214" i="1"/>
  <c r="F214" i="1"/>
  <c r="H213" i="1"/>
  <c r="G213" i="1"/>
  <c r="F213" i="1"/>
  <c r="I213" i="1" s="1"/>
  <c r="I212" i="1"/>
  <c r="H212" i="1"/>
  <c r="G212" i="1"/>
  <c r="F212" i="1"/>
  <c r="I211" i="1"/>
  <c r="H211" i="1"/>
  <c r="G211" i="1"/>
  <c r="F211" i="1"/>
  <c r="H210" i="1"/>
  <c r="G210" i="1"/>
  <c r="F210" i="1"/>
  <c r="I210" i="1" s="1"/>
  <c r="I209" i="1"/>
  <c r="H209" i="1"/>
  <c r="G209" i="1"/>
  <c r="F209" i="1"/>
  <c r="I208" i="1"/>
  <c r="H208" i="1"/>
  <c r="G208" i="1"/>
  <c r="F208" i="1"/>
  <c r="H207" i="1"/>
  <c r="G207" i="1"/>
  <c r="F207" i="1"/>
  <c r="I207" i="1" s="1"/>
  <c r="I206" i="1"/>
  <c r="H206" i="1"/>
  <c r="G206" i="1"/>
  <c r="F206" i="1"/>
  <c r="I205" i="1"/>
  <c r="H205" i="1"/>
  <c r="G205" i="1"/>
  <c r="F205" i="1"/>
  <c r="H204" i="1"/>
  <c r="G204" i="1"/>
  <c r="F204" i="1"/>
  <c r="I204" i="1" s="1"/>
  <c r="I203" i="1"/>
  <c r="H203" i="1"/>
  <c r="G203" i="1"/>
  <c r="F203" i="1"/>
  <c r="I202" i="1"/>
  <c r="H202" i="1"/>
  <c r="G202" i="1"/>
  <c r="F202" i="1"/>
  <c r="H201" i="1"/>
  <c r="G201" i="1"/>
  <c r="F201" i="1"/>
  <c r="I201" i="1" s="1"/>
  <c r="I200" i="1"/>
  <c r="H200" i="1"/>
  <c r="G200" i="1"/>
  <c r="F200" i="1"/>
  <c r="I199" i="1"/>
  <c r="H199" i="1"/>
  <c r="G199" i="1"/>
  <c r="F199" i="1"/>
  <c r="H198" i="1"/>
  <c r="G198" i="1"/>
  <c r="F198" i="1"/>
  <c r="I198" i="1" s="1"/>
  <c r="I197" i="1"/>
  <c r="H197" i="1"/>
  <c r="G197" i="1"/>
  <c r="F197" i="1"/>
  <c r="I196" i="1"/>
  <c r="H196" i="1"/>
  <c r="G196" i="1"/>
  <c r="F196" i="1"/>
  <c r="H195" i="1"/>
  <c r="G195" i="1"/>
  <c r="F195" i="1"/>
  <c r="I195" i="1" s="1"/>
  <c r="I194" i="1"/>
  <c r="H194" i="1"/>
  <c r="G194" i="1"/>
  <c r="F194" i="1"/>
  <c r="I193" i="1"/>
  <c r="H193" i="1"/>
  <c r="G193" i="1"/>
  <c r="F193" i="1"/>
  <c r="H192" i="1"/>
  <c r="G192" i="1"/>
  <c r="F192" i="1"/>
  <c r="I192" i="1" s="1"/>
  <c r="I191" i="1"/>
  <c r="H191" i="1"/>
  <c r="G191" i="1"/>
  <c r="F191" i="1"/>
  <c r="I190" i="1"/>
  <c r="H190" i="1"/>
  <c r="G190" i="1"/>
  <c r="F190" i="1"/>
  <c r="H189" i="1"/>
  <c r="G189" i="1"/>
  <c r="F189" i="1"/>
  <c r="I189" i="1" s="1"/>
  <c r="I188" i="1"/>
  <c r="H188" i="1"/>
  <c r="G188" i="1"/>
  <c r="F188" i="1"/>
  <c r="I187" i="1"/>
  <c r="H187" i="1"/>
  <c r="G187" i="1"/>
  <c r="F187" i="1"/>
  <c r="H186" i="1"/>
  <c r="G186" i="1"/>
  <c r="F186" i="1"/>
  <c r="I186" i="1" s="1"/>
  <c r="I185" i="1"/>
  <c r="H185" i="1"/>
  <c r="G185" i="1"/>
  <c r="F185" i="1"/>
  <c r="I184" i="1"/>
  <c r="H184" i="1"/>
  <c r="G184" i="1"/>
  <c r="F184" i="1"/>
  <c r="H183" i="1"/>
  <c r="G183" i="1"/>
  <c r="F183" i="1"/>
  <c r="I183" i="1" s="1"/>
  <c r="I182" i="1"/>
  <c r="H182" i="1"/>
  <c r="G182" i="1"/>
  <c r="F182" i="1"/>
  <c r="I181" i="1"/>
  <c r="H181" i="1"/>
  <c r="G181" i="1"/>
  <c r="F181" i="1"/>
  <c r="H180" i="1"/>
  <c r="G180" i="1"/>
  <c r="F180" i="1"/>
  <c r="I180" i="1" s="1"/>
  <c r="I179" i="1"/>
  <c r="H179" i="1"/>
  <c r="G179" i="1"/>
  <c r="F179" i="1"/>
  <c r="I178" i="1"/>
  <c r="H178" i="1"/>
  <c r="G178" i="1"/>
  <c r="F178" i="1"/>
  <c r="H177" i="1"/>
  <c r="G177" i="1"/>
  <c r="F177" i="1"/>
  <c r="I177" i="1" s="1"/>
  <c r="I176" i="1"/>
  <c r="H176" i="1"/>
  <c r="G176" i="1"/>
  <c r="F176" i="1"/>
  <c r="I175" i="1"/>
  <c r="H175" i="1"/>
  <c r="G175" i="1"/>
  <c r="F175" i="1"/>
  <c r="H174" i="1"/>
  <c r="G174" i="1"/>
  <c r="F174" i="1"/>
  <c r="I174" i="1" s="1"/>
  <c r="I173" i="1"/>
  <c r="H173" i="1"/>
  <c r="G173" i="1"/>
  <c r="F173" i="1"/>
  <c r="I172" i="1"/>
  <c r="H172" i="1"/>
  <c r="G172" i="1"/>
  <c r="F172" i="1"/>
  <c r="H171" i="1"/>
  <c r="G171" i="1"/>
  <c r="F171" i="1"/>
  <c r="I171" i="1" s="1"/>
  <c r="I170" i="1"/>
  <c r="H170" i="1"/>
  <c r="G170" i="1"/>
  <c r="F170" i="1"/>
  <c r="I169" i="1"/>
  <c r="H169" i="1"/>
  <c r="G169" i="1"/>
  <c r="F169" i="1"/>
  <c r="H168" i="1"/>
  <c r="G168" i="1"/>
  <c r="F168" i="1"/>
  <c r="I168" i="1" s="1"/>
  <c r="I167" i="1"/>
  <c r="H167" i="1"/>
  <c r="G167" i="1"/>
  <c r="F167" i="1"/>
  <c r="I166" i="1"/>
  <c r="H166" i="1"/>
  <c r="G166" i="1"/>
  <c r="F166" i="1"/>
  <c r="H165" i="1"/>
  <c r="G165" i="1"/>
  <c r="F165" i="1"/>
  <c r="I165" i="1" s="1"/>
  <c r="I164" i="1"/>
  <c r="H164" i="1"/>
  <c r="G164" i="1"/>
  <c r="F164" i="1"/>
  <c r="I163" i="1"/>
  <c r="H163" i="1"/>
  <c r="G163" i="1"/>
  <c r="F163" i="1"/>
  <c r="H162" i="1"/>
  <c r="G162" i="1"/>
  <c r="F162" i="1"/>
  <c r="I162" i="1" s="1"/>
  <c r="I161" i="1"/>
  <c r="H161" i="1"/>
  <c r="G161" i="1"/>
  <c r="F161" i="1"/>
  <c r="I160" i="1"/>
  <c r="H160" i="1"/>
  <c r="G160" i="1"/>
  <c r="F160" i="1"/>
  <c r="H159" i="1"/>
  <c r="G159" i="1"/>
  <c r="F159" i="1"/>
  <c r="I159" i="1" s="1"/>
  <c r="I158" i="1"/>
  <c r="H158" i="1"/>
  <c r="G158" i="1"/>
  <c r="F158" i="1"/>
  <c r="I157" i="1"/>
  <c r="H157" i="1"/>
  <c r="G157" i="1"/>
  <c r="F157" i="1"/>
  <c r="H156" i="1"/>
  <c r="G156" i="1"/>
  <c r="F156" i="1"/>
  <c r="I156" i="1" s="1"/>
  <c r="I155" i="1"/>
  <c r="H155" i="1"/>
  <c r="G155" i="1"/>
  <c r="F155" i="1"/>
  <c r="I154" i="1"/>
  <c r="H154" i="1"/>
  <c r="G154" i="1"/>
  <c r="F154" i="1"/>
  <c r="H153" i="1"/>
  <c r="G153" i="1"/>
  <c r="F153" i="1"/>
  <c r="I153" i="1" s="1"/>
  <c r="I152" i="1"/>
  <c r="H152" i="1"/>
  <c r="G152" i="1"/>
  <c r="F152" i="1"/>
  <c r="I151" i="1"/>
  <c r="H151" i="1"/>
  <c r="G151" i="1"/>
  <c r="F151" i="1"/>
  <c r="H150" i="1"/>
  <c r="G150" i="1"/>
  <c r="F150" i="1"/>
  <c r="I150" i="1" s="1"/>
  <c r="I149" i="1"/>
  <c r="H149" i="1"/>
  <c r="G149" i="1"/>
  <c r="F149" i="1"/>
  <c r="I148" i="1"/>
  <c r="H148" i="1"/>
  <c r="G148" i="1"/>
  <c r="F148" i="1"/>
  <c r="H147" i="1"/>
  <c r="G147" i="1"/>
  <c r="F147" i="1"/>
  <c r="I147" i="1" s="1"/>
  <c r="I146" i="1"/>
  <c r="H146" i="1"/>
  <c r="G146" i="1"/>
  <c r="F146" i="1"/>
  <c r="I145" i="1"/>
  <c r="H145" i="1"/>
  <c r="G145" i="1"/>
  <c r="F145" i="1"/>
  <c r="H144" i="1"/>
  <c r="G144" i="1"/>
  <c r="F144" i="1"/>
  <c r="I144" i="1" s="1"/>
  <c r="I143" i="1"/>
  <c r="H143" i="1"/>
  <c r="G143" i="1"/>
  <c r="F143" i="1"/>
  <c r="I142" i="1"/>
  <c r="H142" i="1"/>
  <c r="G142" i="1"/>
  <c r="F142" i="1"/>
  <c r="H141" i="1"/>
  <c r="G141" i="1"/>
  <c r="F141" i="1"/>
  <c r="I141" i="1" s="1"/>
  <c r="I140" i="1"/>
  <c r="H140" i="1"/>
  <c r="G140" i="1"/>
  <c r="F140" i="1"/>
  <c r="I139" i="1"/>
  <c r="H139" i="1"/>
  <c r="G139" i="1"/>
  <c r="F139" i="1"/>
  <c r="H138" i="1"/>
  <c r="G138" i="1"/>
  <c r="F138" i="1"/>
  <c r="I138" i="1" s="1"/>
  <c r="I137" i="1"/>
  <c r="H137" i="1"/>
  <c r="G137" i="1"/>
  <c r="F137" i="1"/>
  <c r="I136" i="1"/>
  <c r="H136" i="1"/>
  <c r="G136" i="1"/>
  <c r="F136" i="1"/>
  <c r="H135" i="1"/>
  <c r="G135" i="1"/>
  <c r="F135" i="1"/>
  <c r="I135" i="1" s="1"/>
  <c r="I134" i="1"/>
  <c r="H134" i="1"/>
  <c r="G134" i="1"/>
  <c r="F134" i="1"/>
  <c r="I133" i="1"/>
  <c r="H133" i="1"/>
  <c r="G133" i="1"/>
  <c r="F133" i="1"/>
  <c r="H132" i="1"/>
  <c r="G132" i="1"/>
  <c r="F132" i="1"/>
  <c r="I132" i="1" s="1"/>
  <c r="I131" i="1"/>
  <c r="H131" i="1"/>
  <c r="G131" i="1"/>
  <c r="F131" i="1"/>
  <c r="I130" i="1"/>
  <c r="H130" i="1"/>
  <c r="G130" i="1"/>
  <c r="F130" i="1"/>
  <c r="H129" i="1"/>
  <c r="G129" i="1"/>
  <c r="F129" i="1"/>
  <c r="I129" i="1" s="1"/>
  <c r="I128" i="1"/>
  <c r="H128" i="1"/>
  <c r="G128" i="1"/>
  <c r="F128" i="1"/>
  <c r="I127" i="1"/>
  <c r="H127" i="1"/>
  <c r="G127" i="1"/>
  <c r="F127" i="1"/>
  <c r="H126" i="1"/>
  <c r="G126" i="1"/>
  <c r="F126" i="1"/>
  <c r="I126" i="1" s="1"/>
  <c r="I125" i="1"/>
  <c r="H125" i="1"/>
  <c r="G125" i="1"/>
  <c r="F125" i="1"/>
  <c r="I124" i="1"/>
  <c r="H124" i="1"/>
  <c r="G124" i="1"/>
  <c r="F124" i="1"/>
  <c r="H123" i="1"/>
  <c r="G123" i="1"/>
  <c r="F123" i="1"/>
  <c r="I123" i="1" s="1"/>
  <c r="I122" i="1"/>
  <c r="H122" i="1"/>
  <c r="G122" i="1"/>
  <c r="F122" i="1"/>
  <c r="I121" i="1"/>
  <c r="H121" i="1"/>
  <c r="G121" i="1"/>
  <c r="F121" i="1"/>
  <c r="H120" i="1"/>
  <c r="G120" i="1"/>
  <c r="F120" i="1"/>
  <c r="I120" i="1" s="1"/>
  <c r="I119" i="1"/>
  <c r="H119" i="1"/>
  <c r="G119" i="1"/>
  <c r="F119" i="1"/>
  <c r="I118" i="1"/>
  <c r="H118" i="1"/>
  <c r="G118" i="1"/>
  <c r="F118" i="1"/>
  <c r="H117" i="1"/>
  <c r="G117" i="1"/>
  <c r="F117" i="1"/>
  <c r="I117" i="1" s="1"/>
  <c r="I116" i="1"/>
  <c r="H116" i="1"/>
  <c r="G116" i="1"/>
  <c r="F116" i="1"/>
  <c r="I115" i="1"/>
  <c r="H115" i="1"/>
  <c r="G115" i="1"/>
  <c r="F115" i="1"/>
  <c r="H114" i="1"/>
  <c r="G114" i="1"/>
  <c r="F114" i="1"/>
  <c r="I114" i="1" s="1"/>
  <c r="I113" i="1"/>
  <c r="H113" i="1"/>
  <c r="G113" i="1"/>
  <c r="F113" i="1"/>
  <c r="I112" i="1"/>
  <c r="H112" i="1"/>
  <c r="G112" i="1"/>
  <c r="F112" i="1"/>
  <c r="H111" i="1"/>
  <c r="G111" i="1"/>
  <c r="F111" i="1"/>
  <c r="I111" i="1" s="1"/>
  <c r="I110" i="1"/>
  <c r="H110" i="1"/>
  <c r="G110" i="1"/>
  <c r="F110" i="1"/>
  <c r="I109" i="1"/>
  <c r="H109" i="1"/>
  <c r="G109" i="1"/>
  <c r="F109" i="1"/>
  <c r="H108" i="1"/>
  <c r="G108" i="1"/>
  <c r="F108" i="1"/>
  <c r="I108" i="1" s="1"/>
  <c r="I107" i="1"/>
  <c r="H107" i="1"/>
  <c r="G107" i="1"/>
  <c r="F107" i="1"/>
  <c r="I106" i="1"/>
  <c r="H106" i="1"/>
  <c r="G106" i="1"/>
  <c r="F106" i="1"/>
  <c r="H105" i="1"/>
  <c r="G105" i="1"/>
  <c r="F105" i="1"/>
  <c r="I105" i="1" s="1"/>
  <c r="I104" i="1"/>
  <c r="H104" i="1"/>
  <c r="G104" i="1"/>
  <c r="F104" i="1"/>
  <c r="I103" i="1"/>
  <c r="H103" i="1"/>
  <c r="G103" i="1"/>
  <c r="F103" i="1"/>
  <c r="H102" i="1"/>
  <c r="G102" i="1"/>
  <c r="F102" i="1"/>
  <c r="I102" i="1" s="1"/>
  <c r="I101" i="1"/>
  <c r="H101" i="1"/>
  <c r="G101" i="1"/>
  <c r="F101" i="1"/>
  <c r="I100" i="1"/>
  <c r="H100" i="1"/>
  <c r="G100" i="1"/>
  <c r="F100" i="1"/>
  <c r="H99" i="1"/>
  <c r="G99" i="1"/>
  <c r="F99" i="1"/>
  <c r="I99" i="1" s="1"/>
  <c r="I98" i="1"/>
  <c r="H98" i="1"/>
  <c r="G98" i="1"/>
  <c r="F98" i="1"/>
  <c r="I97" i="1"/>
  <c r="H97" i="1"/>
  <c r="G97" i="1"/>
  <c r="F97" i="1"/>
  <c r="H96" i="1"/>
  <c r="G96" i="1"/>
  <c r="F96" i="1"/>
  <c r="I96" i="1" s="1"/>
  <c r="I95" i="1"/>
  <c r="H95" i="1"/>
  <c r="G95" i="1"/>
  <c r="F95" i="1"/>
  <c r="I94" i="1"/>
  <c r="H94" i="1"/>
  <c r="G94" i="1"/>
  <c r="F94" i="1"/>
  <c r="H93" i="1"/>
  <c r="G93" i="1"/>
  <c r="F93" i="1"/>
  <c r="I93" i="1" s="1"/>
  <c r="I92" i="1"/>
  <c r="H92" i="1"/>
  <c r="G92" i="1"/>
  <c r="F92" i="1"/>
  <c r="I91" i="1"/>
  <c r="H91" i="1"/>
  <c r="G91" i="1"/>
  <c r="F91" i="1"/>
  <c r="H90" i="1"/>
  <c r="G90" i="1"/>
  <c r="F90" i="1"/>
  <c r="I90" i="1" s="1"/>
  <c r="I89" i="1"/>
  <c r="H89" i="1"/>
  <c r="G89" i="1"/>
  <c r="F89" i="1"/>
  <c r="I88" i="1"/>
  <c r="H88" i="1"/>
  <c r="G88" i="1"/>
  <c r="F88" i="1"/>
  <c r="H87" i="1"/>
  <c r="G87" i="1"/>
  <c r="F87" i="1"/>
  <c r="I87" i="1" s="1"/>
  <c r="I86" i="1"/>
  <c r="H86" i="1"/>
  <c r="G86" i="1"/>
  <c r="F86" i="1"/>
  <c r="I85" i="1"/>
  <c r="H85" i="1"/>
  <c r="G85" i="1"/>
  <c r="F85" i="1"/>
  <c r="H84" i="1"/>
  <c r="G84" i="1"/>
  <c r="F84" i="1"/>
  <c r="I84" i="1" s="1"/>
  <c r="I83" i="1"/>
  <c r="H83" i="1"/>
  <c r="G83" i="1"/>
  <c r="F83" i="1"/>
  <c r="I82" i="1"/>
  <c r="H82" i="1"/>
  <c r="G82" i="1"/>
  <c r="F82" i="1"/>
  <c r="H81" i="1"/>
  <c r="G81" i="1"/>
  <c r="F81" i="1"/>
  <c r="I81" i="1" s="1"/>
  <c r="I80" i="1"/>
  <c r="H80" i="1"/>
  <c r="G80" i="1"/>
  <c r="F80" i="1"/>
  <c r="I79" i="1"/>
  <c r="H79" i="1"/>
  <c r="G79" i="1"/>
  <c r="F79" i="1"/>
  <c r="H78" i="1"/>
  <c r="G78" i="1"/>
  <c r="F78" i="1"/>
  <c r="I78" i="1" s="1"/>
  <c r="I77" i="1"/>
  <c r="H77" i="1"/>
  <c r="G77" i="1"/>
  <c r="F77" i="1"/>
  <c r="I76" i="1"/>
  <c r="H76" i="1"/>
  <c r="G76" i="1"/>
  <c r="F76" i="1"/>
  <c r="H75" i="1"/>
  <c r="G75" i="1"/>
  <c r="F75" i="1"/>
  <c r="I75" i="1" s="1"/>
  <c r="I74" i="1"/>
  <c r="H74" i="1"/>
  <c r="G74" i="1"/>
  <c r="F74" i="1"/>
  <c r="I73" i="1"/>
  <c r="H73" i="1"/>
  <c r="G73" i="1"/>
  <c r="F73" i="1"/>
  <c r="H72" i="1"/>
  <c r="G72" i="1"/>
  <c r="F72" i="1"/>
  <c r="I72" i="1" s="1"/>
  <c r="I71" i="1"/>
  <c r="H71" i="1"/>
  <c r="G71" i="1"/>
  <c r="F71" i="1"/>
  <c r="I70" i="1"/>
  <c r="H70" i="1"/>
  <c r="G70" i="1"/>
  <c r="F70" i="1"/>
  <c r="H69" i="1"/>
  <c r="G69" i="1"/>
  <c r="F69" i="1"/>
  <c r="I69" i="1" s="1"/>
  <c r="I68" i="1"/>
  <c r="H68" i="1"/>
  <c r="G68" i="1"/>
  <c r="F68" i="1"/>
  <c r="I67" i="1"/>
  <c r="H67" i="1"/>
  <c r="G67" i="1"/>
  <c r="F67" i="1"/>
  <c r="H66" i="1"/>
  <c r="G66" i="1"/>
  <c r="F66" i="1"/>
  <c r="I66" i="1" s="1"/>
  <c r="I65" i="1"/>
  <c r="H65" i="1"/>
  <c r="G65" i="1"/>
  <c r="F65" i="1"/>
  <c r="I64" i="1"/>
  <c r="H64" i="1"/>
  <c r="G64" i="1"/>
  <c r="F64" i="1"/>
  <c r="H63" i="1"/>
  <c r="G63" i="1"/>
  <c r="F63" i="1"/>
  <c r="I63" i="1" s="1"/>
  <c r="I62" i="1"/>
  <c r="H62" i="1"/>
  <c r="G62" i="1"/>
  <c r="F62" i="1"/>
  <c r="I61" i="1"/>
  <c r="H61" i="1"/>
  <c r="G61" i="1"/>
  <c r="F61" i="1"/>
  <c r="H60" i="1"/>
  <c r="G60" i="1"/>
  <c r="F60" i="1"/>
  <c r="I60" i="1" s="1"/>
  <c r="I59" i="1"/>
  <c r="H59" i="1"/>
  <c r="G59" i="1"/>
  <c r="F59" i="1"/>
  <c r="I58" i="1"/>
  <c r="H58" i="1"/>
  <c r="G58" i="1"/>
  <c r="F58" i="1"/>
  <c r="H57" i="1"/>
  <c r="G57" i="1"/>
  <c r="F57" i="1"/>
  <c r="I57" i="1" s="1"/>
  <c r="I56" i="1"/>
  <c r="H56" i="1"/>
  <c r="G56" i="1"/>
  <c r="F56" i="1"/>
  <c r="I55" i="1"/>
  <c r="H55" i="1"/>
  <c r="G55" i="1"/>
  <c r="F55" i="1"/>
  <c r="H54" i="1"/>
  <c r="G54" i="1"/>
  <c r="F54" i="1"/>
  <c r="I54" i="1" s="1"/>
  <c r="I53" i="1"/>
  <c r="H53" i="1"/>
  <c r="G53" i="1"/>
  <c r="F53" i="1"/>
  <c r="I52" i="1"/>
  <c r="H52" i="1"/>
  <c r="G52" i="1"/>
  <c r="F52" i="1"/>
  <c r="H51" i="1"/>
  <c r="G51" i="1"/>
  <c r="F51" i="1"/>
  <c r="I51" i="1" s="1"/>
  <c r="I50" i="1"/>
  <c r="H50" i="1"/>
  <c r="G50" i="1"/>
  <c r="F50" i="1"/>
  <c r="I49" i="1"/>
  <c r="H49" i="1"/>
  <c r="G49" i="1"/>
  <c r="F49" i="1"/>
  <c r="H48" i="1"/>
  <c r="G48" i="1"/>
  <c r="F48" i="1"/>
  <c r="I48" i="1" s="1"/>
  <c r="I47" i="1"/>
  <c r="H47" i="1"/>
  <c r="G47" i="1"/>
  <c r="F47" i="1"/>
  <c r="I46" i="1"/>
  <c r="H46" i="1"/>
  <c r="G46" i="1"/>
  <c r="F46" i="1"/>
  <c r="H45" i="1"/>
  <c r="G45" i="1"/>
  <c r="F45" i="1"/>
  <c r="I45" i="1" s="1"/>
  <c r="I44" i="1"/>
  <c r="H44" i="1"/>
  <c r="G44" i="1"/>
  <c r="F44" i="1"/>
  <c r="I43" i="1"/>
  <c r="H43" i="1"/>
  <c r="G43" i="1"/>
  <c r="F43" i="1"/>
  <c r="H42" i="1"/>
  <c r="G42" i="1"/>
  <c r="F42" i="1"/>
  <c r="I42" i="1" s="1"/>
  <c r="I41" i="1"/>
  <c r="H41" i="1"/>
  <c r="G41" i="1"/>
  <c r="F41" i="1"/>
  <c r="I40" i="1"/>
  <c r="H40" i="1"/>
  <c r="G40" i="1"/>
  <c r="F40" i="1"/>
  <c r="H39" i="1"/>
  <c r="G39" i="1"/>
  <c r="F39" i="1"/>
  <c r="I39" i="1" s="1"/>
  <c r="I38" i="1"/>
  <c r="H38" i="1"/>
  <c r="G38" i="1"/>
  <c r="F38" i="1"/>
  <c r="I37" i="1"/>
  <c r="H37" i="1"/>
  <c r="G37" i="1"/>
  <c r="F37" i="1"/>
  <c r="H36" i="1"/>
  <c r="G36" i="1"/>
  <c r="F36" i="1"/>
  <c r="I36" i="1" s="1"/>
  <c r="I35" i="1"/>
  <c r="H35" i="1"/>
  <c r="G35" i="1"/>
  <c r="F35" i="1"/>
  <c r="I34" i="1"/>
  <c r="H34" i="1"/>
  <c r="G34" i="1"/>
  <c r="F34" i="1"/>
  <c r="H33" i="1"/>
  <c r="G33" i="1"/>
  <c r="F33" i="1"/>
  <c r="I33" i="1" s="1"/>
  <c r="I32" i="1"/>
  <c r="H32" i="1"/>
  <c r="G32" i="1"/>
  <c r="F32" i="1"/>
  <c r="I31" i="1"/>
  <c r="H31" i="1"/>
  <c r="G31" i="1"/>
  <c r="F31" i="1"/>
  <c r="H30" i="1"/>
  <c r="G30" i="1"/>
  <c r="F30" i="1"/>
  <c r="I30" i="1" s="1"/>
  <c r="I29" i="1"/>
  <c r="H29" i="1"/>
  <c r="G29" i="1"/>
  <c r="F29" i="1"/>
  <c r="I28" i="1"/>
  <c r="H28" i="1"/>
  <c r="G28" i="1"/>
  <c r="F28" i="1"/>
  <c r="H27" i="1"/>
  <c r="G27" i="1"/>
  <c r="F27" i="1"/>
  <c r="I27" i="1" s="1"/>
  <c r="I26" i="1"/>
  <c r="H26" i="1"/>
  <c r="G26" i="1"/>
  <c r="F26" i="1"/>
  <c r="I25" i="1"/>
  <c r="H25" i="1"/>
  <c r="G25" i="1"/>
  <c r="F25" i="1"/>
  <c r="H24" i="1"/>
  <c r="G24" i="1"/>
  <c r="F24" i="1"/>
  <c r="I24" i="1" s="1"/>
  <c r="I23" i="1"/>
  <c r="H23" i="1"/>
  <c r="G23" i="1"/>
  <c r="F23" i="1"/>
  <c r="I22" i="1"/>
  <c r="H22" i="1"/>
  <c r="G22" i="1"/>
  <c r="F22" i="1"/>
  <c r="H21" i="1"/>
  <c r="G21" i="1"/>
  <c r="F21" i="1"/>
  <c r="I21" i="1" s="1"/>
  <c r="I20" i="1"/>
  <c r="H20" i="1"/>
  <c r="G20" i="1"/>
  <c r="F20" i="1"/>
  <c r="I19" i="1"/>
  <c r="H19" i="1"/>
  <c r="G19" i="1"/>
  <c r="F19" i="1"/>
  <c r="H18" i="1"/>
  <c r="G18" i="1"/>
  <c r="F18" i="1"/>
  <c r="I18" i="1" s="1"/>
  <c r="I17" i="1"/>
  <c r="H17" i="1"/>
  <c r="G17" i="1"/>
  <c r="F17" i="1"/>
  <c r="I16" i="1"/>
  <c r="H16" i="1"/>
  <c r="G16" i="1"/>
  <c r="F16" i="1"/>
  <c r="H15" i="1"/>
  <c r="G15" i="1"/>
  <c r="F15" i="1"/>
  <c r="I15" i="1" s="1"/>
  <c r="I14" i="1"/>
  <c r="H14" i="1"/>
  <c r="G14" i="1"/>
  <c r="F14" i="1"/>
  <c r="I13" i="1"/>
  <c r="H13" i="1"/>
  <c r="G13" i="1"/>
  <c r="F13" i="1"/>
  <c r="H12" i="1"/>
  <c r="G12" i="1"/>
  <c r="F12" i="1"/>
  <c r="I12" i="1" s="1"/>
  <c r="I11" i="1"/>
  <c r="H11" i="1"/>
  <c r="G11" i="1"/>
  <c r="F11" i="1"/>
  <c r="I10" i="1"/>
  <c r="H10" i="1"/>
  <c r="G10" i="1"/>
  <c r="F10" i="1"/>
  <c r="H9" i="1"/>
  <c r="G9" i="1"/>
  <c r="F9" i="1"/>
  <c r="I9" i="1" s="1"/>
  <c r="I8" i="1"/>
  <c r="H8" i="1"/>
  <c r="G8" i="1"/>
  <c r="F8" i="1"/>
  <c r="I7" i="1"/>
  <c r="H7" i="1"/>
  <c r="G7" i="1"/>
  <c r="F7" i="1"/>
  <c r="H6" i="1"/>
  <c r="G6" i="1"/>
  <c r="F6" i="1"/>
  <c r="I6" i="1" s="1"/>
  <c r="I5" i="1"/>
  <c r="H5" i="1"/>
  <c r="G5" i="1"/>
  <c r="F5" i="1"/>
  <c r="I4" i="1"/>
  <c r="H4" i="1"/>
  <c r="G4" i="1"/>
  <c r="F4" i="1"/>
  <c r="H3" i="1"/>
  <c r="G3" i="1"/>
  <c r="F3" i="1"/>
  <c r="I3" i="1" s="1"/>
  <c r="I2" i="1"/>
  <c r="H2" i="1"/>
  <c r="G2" i="1"/>
  <c r="F2" i="1"/>
</calcChain>
</file>

<file path=xl/sharedStrings.xml><?xml version="1.0" encoding="utf-8"?>
<sst xmlns="http://schemas.openxmlformats.org/spreadsheetml/2006/main" count="551" uniqueCount="91">
  <si>
    <t>Material</t>
  </si>
  <si>
    <t>PO Year</t>
  </si>
  <si>
    <t>Raw Steel Min ₹/kg</t>
  </si>
  <si>
    <t>Raw Steel Max ₹/kg</t>
  </si>
  <si>
    <t>Percentile Used</t>
  </si>
  <si>
    <t>Raw Steel Price Used ₹/kg</t>
  </si>
  <si>
    <t>Factor w.r.t. CS</t>
  </si>
  <si>
    <t>Factor w.r.t. SS304</t>
  </si>
  <si>
    <t>Factor w.r.t. SS316/SS316L</t>
  </si>
  <si>
    <t>Revision Note</t>
  </si>
  <si>
    <t>Carbon Steel, C</t>
  </si>
  <si>
    <t>No change</t>
  </si>
  <si>
    <t>Low Temp CS, C-Si</t>
  </si>
  <si>
    <t>Low temp alloy steel, 3.5Ni</t>
  </si>
  <si>
    <t>Low temp alloy steel, 0.75Cr-0.75Ni</t>
  </si>
  <si>
    <t>Low temp alloy steel, 2.5Ni</t>
  </si>
  <si>
    <t>Low temp alloy steel, 9Ni</t>
  </si>
  <si>
    <t>Low temp alloy steel, 2Ni-1Cu</t>
  </si>
  <si>
    <t>API 5L high strength, X42 to X52</t>
  </si>
  <si>
    <t>API 5L high strength, X56 to X70</t>
  </si>
  <si>
    <t>API 5L high strength, X80 to X120</t>
  </si>
  <si>
    <t>C-0.5Mo alloy steel</t>
  </si>
  <si>
    <t>0.5Cr-0.5Mo alloy steel</t>
  </si>
  <si>
    <t>1Cr-0.5Mo / 1.25Cr-0.5Mo</t>
  </si>
  <si>
    <t>1.5Si-0.5Mo</t>
  </si>
  <si>
    <t>2.25Cr-1Mo</t>
  </si>
  <si>
    <t>3Cr-1Mo</t>
  </si>
  <si>
    <t>5Cr-0.5Mo</t>
  </si>
  <si>
    <t>9Cr-1Mo</t>
  </si>
  <si>
    <t>9Cr-1Mo-V / P91 family</t>
  </si>
  <si>
    <t>Austenitic SS 304 / 304L</t>
  </si>
  <si>
    <t>SS316</t>
  </si>
  <si>
    <t>Added: SS316 treated same as SS316L for estimator lookup; market difference is normally negligible.</t>
  </si>
  <si>
    <t>SS316L</t>
  </si>
  <si>
    <t>SS 321 / 347</t>
  </si>
  <si>
    <t>SS 316Ti</t>
  </si>
  <si>
    <t>SS 310</t>
  </si>
  <si>
    <t>SS 317</t>
  </si>
  <si>
    <t>Revised: anchored to SS316/316L. Min = 1.07×SS316L min; Max = 1.20×SS316L max.</t>
  </si>
  <si>
    <t>6Mo austenitic SS</t>
  </si>
  <si>
    <t>904L</t>
  </si>
  <si>
    <t>Duplex 2304</t>
  </si>
  <si>
    <t>Duplex 2205</t>
  </si>
  <si>
    <t>Other duplex grades</t>
  </si>
  <si>
    <t>Super Duplex</t>
  </si>
  <si>
    <t>Titanium</t>
  </si>
  <si>
    <t>Incoloy / Inconel 825</t>
  </si>
  <si>
    <t>Incoloy 800</t>
  </si>
  <si>
    <t>Inconel 625</t>
  </si>
  <si>
    <t>Inconel 600</t>
  </si>
  <si>
    <t>Hastelloy C / B family</t>
  </si>
  <si>
    <t>Alloy 20</t>
  </si>
  <si>
    <t>Nickel 200 / 201</t>
  </si>
  <si>
    <t>Monel 400</t>
  </si>
  <si>
    <t>Aluminium</t>
  </si>
  <si>
    <t>Revision Basis for Raw Material Price Table</t>
  </si>
  <si>
    <t>Prepared on</t>
  </si>
  <si>
    <t>2026-06-26</t>
  </si>
  <si>
    <t>CS Price Used ₹/kg</t>
  </si>
  <si>
    <t>SS304 Price Used ₹/kg</t>
  </si>
  <si>
    <t>SS316/SS316L Price Used ₹/kg</t>
  </si>
  <si>
    <t>SS317 Revised Price Used ₹/kg</t>
  </si>
  <si>
    <t>SS317 / SS316L</t>
  </si>
  <si>
    <t>Key revision decisions</t>
  </si>
  <si>
    <t>1</t>
  </si>
  <si>
    <t>Carbon Steel rows retained as base anchor.</t>
  </si>
  <si>
    <t>2</t>
  </si>
  <si>
    <t>SS304 / 304L rows retained. 2026 value ₹210.18/kg is aligned with current market checks for SS304 around ₹180 to ₹220/kg.</t>
  </si>
  <si>
    <t>3</t>
  </si>
  <si>
    <t>SS316L rows retained. 2026 value ₹325.50/kg is aligned with current market checks for SS316 around ₹280 to ₹350/kg.</t>
  </si>
  <si>
    <t>4</t>
  </si>
  <si>
    <t>SS316 rows added for web-app lookup and treated equal to SS316L for estimator purpose.</t>
  </si>
  <si>
    <t>5</t>
  </si>
  <si>
    <t>SS317 rows revised downward. Old 2026 value was ₹600.03/kg; revised 2026 value is ₹377.86/kg, about 1.16× SS316L.</t>
  </si>
  <si>
    <t>Revision rule for SS317</t>
  </si>
  <si>
    <t>Min = 1.07 × SS316L Min; Max = 1.20 × SS316L Max; Price Used = Min + (Max-Min) × Percentile.</t>
  </si>
  <si>
    <t>Source / market reference</t>
  </si>
  <si>
    <t>URL</t>
  </si>
  <si>
    <t>Use in model</t>
  </si>
  <si>
    <t>OfBusiness stainless price page</t>
  </si>
  <si>
    <t>https://www.ofbusiness.com/prices/stainless-steel</t>
  </si>
  <si>
    <t>Reference for SS304 and SS316 India price bands.</t>
  </si>
  <si>
    <t>Procurement Resource stainless steel plate trend</t>
  </si>
  <si>
    <t>https://www.procurementresource.com/resource-center/stainless-steel-plate-price-trends</t>
  </si>
  <si>
    <t>Cross-check that stainless plate market remained firm in 2026.</t>
  </si>
  <si>
    <t>Gnee Steel 304 and 316/316L sheet price note</t>
  </si>
  <si>
    <t>https://www.stainless-steels.com/news/ss-316-sheet-price-per-kg-latest-85506898.html</t>
  </si>
  <si>
    <t>Cross-check relative premium of 316/316L over 304 due to molybdenum.</t>
  </si>
  <si>
    <t>Metallica / Steel Pipes Factory SS317L reference</t>
  </si>
  <si>
    <t>https://www.steelpipesfactory.com/stainless-steel-317l-seamless-pipes-price-list-in-india/</t>
  </si>
  <si>
    <t>Used only as finished-pipe sanity check. Raw/semi-finished estimator value should be lower than finished pipe price.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</si>
</sst>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</cellXfs>
  <cellStyles count="1">
    <cellStyle name="Normal" xfId="0" builtinId="0"/>
  </cellStyles>
  <dxfs count="1">
    <dxf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MaterialRevisedTable" displayName="RawMaterialRevisedTable" ref="A1:J253">
  <tableColumns count="10">
    <tableColumn id="1" xr3:uid="{00000000-0010-0000-0000-000001000000}" name="Material"/>
    <tableColumn id="2" xr3:uid="{00000000-0010-0000-0000-000002000000}" name="PO Year"/>
    <tableColumn id="3" xr3:uid="{00000000-0010-0000-0000-000003000000}" name="Raw Steel Min ₹/kg"/>
    <tableColumn id="4" xr3:uid="{00000000-0010-0000-0000-000004000000}" name="Raw Steel Max ₹/kg"/>
    <tableColumn id="5" xr3:uid="{00000000-0010-0000-0000-000005000000}" name="Percentile Used"/>
    <tableColumn id="6" xr3:uid="{00000000-0010-0000-0000-000006000000}" name="Raw Steel Price Used ₹/kg"/>
    <tableColumn id="7" xr3:uid="{00000000-0010-0000-0000-000007000000}" name="Factor w.r.t. CS"/>
    <tableColumn id="8" xr3:uid="{00000000-0010-0000-0000-000008000000}" name="Factor w.r.t. SS304"/>
    <tableColumn id="9" xr3:uid="{00000000-0010-0000-0000-000009000000}" name="Factor w.r.t. SS316/SS316L"/>
    <tableColumn id="10" xr3:uid="{00000000-0010-0000-0000-00000A000000}" name="Revision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nchorTable" displayName="AnchorTable" ref="A4:F10">
  <tableColumns count="6">
    <tableColumn id="1" xr3:uid="{00000000-0010-0000-0100-000001000000}" name="PO Year"/>
    <tableColumn id="2" xr3:uid="{00000000-0010-0000-0100-000002000000}" name="CS Price Used ₹/kg"/>
    <tableColumn id="3" xr3:uid="{00000000-0010-0000-0100-000003000000}" name="SS304 Price Used ₹/kg"/>
    <tableColumn id="4" xr3:uid="{00000000-0010-0000-0100-000004000000}" name="SS316/SS316L Price Used ₹/kg"/>
    <tableColumn id="5" xr3:uid="{00000000-0010-0000-0100-000005000000}" name="SS317 Revised Price Used ₹/kg"/>
    <tableColumn id="6" xr3:uid="{00000000-0010-0000-0100-000006000000}" name="SS317 / SS316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3"/>
  <sheetViews>
    <sheetView tabSelected="1" zoomScale="70" zoomScaleNormal="70" workbookViewId="0">
      <selection activeCell="P8" sqref="P8"/>
    </sheetView>
  </sheetViews>
  <sheetFormatPr defaultRowHeight="14"/>
  <cols>
    <col min="1" max="1" width="34" customWidth="1"/>
    <col min="2" max="2" width="10" customWidth="1"/>
    <col min="3" max="7" width="16" customWidth="1"/>
    <col min="8" max="9" width="16" hidden="1" customWidth="1"/>
    <col min="10" max="10" width="48" hidden="1" customWidth="1"/>
  </cols>
  <sheetData>
    <row r="1" spans="1:10" ht="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4" t="s">
        <v>10</v>
      </c>
      <c r="B2" s="5">
        <v>2021</v>
      </c>
      <c r="C2" s="6">
        <v>55</v>
      </c>
      <c r="D2" s="6">
        <v>70</v>
      </c>
      <c r="E2" s="6">
        <v>0.65</v>
      </c>
      <c r="F2" s="6">
        <f t="shared" ref="F2:F65" si="0">C2+(D2-C2)*E2</f>
        <v>64.75</v>
      </c>
      <c r="G2" s="6">
        <f>F2/INDEX('Revision Basis'!$B$5:$B$10,MATCH(B2,'Revision Basis'!$A$5:$A$10,0))</f>
        <v>1</v>
      </c>
      <c r="H2" s="6">
        <f>F2/INDEX('Revision Basis'!$C$5:$C$10,MATCH(B2,'Revision Basis'!$A$5:$A$10,0))</f>
        <v>0.26881720430107525</v>
      </c>
      <c r="I2" s="6">
        <f>F2/INDEX('Revision Basis'!$D$5:$D$10,MATCH(B2,'Revision Basis'!$A$5:$A$10,0))</f>
        <v>0.2296099290780142</v>
      </c>
      <c r="J2" s="4" t="s">
        <v>11</v>
      </c>
    </row>
    <row r="3" spans="1:10">
      <c r="A3" s="4" t="s">
        <v>10</v>
      </c>
      <c r="B3" s="5">
        <v>2022</v>
      </c>
      <c r="C3" s="6">
        <v>54</v>
      </c>
      <c r="D3" s="6">
        <v>80</v>
      </c>
      <c r="E3" s="6">
        <v>0.65</v>
      </c>
      <c r="F3" s="6">
        <f t="shared" si="0"/>
        <v>70.900000000000006</v>
      </c>
      <c r="G3" s="6">
        <f>F3/INDEX('Revision Basis'!$B$5:$B$10,MATCH(B3,'Revision Basis'!$A$5:$A$10,0))</f>
        <v>1</v>
      </c>
      <c r="H3" s="6">
        <f>F3/INDEX('Revision Basis'!$C$5:$C$10,MATCH(B3,'Revision Basis'!$A$5:$A$10,0))</f>
        <v>0.26881516587677728</v>
      </c>
      <c r="I3" s="6">
        <f>F3/INDEX('Revision Basis'!$D$5:$D$10,MATCH(B3,'Revision Basis'!$A$5:$A$10,0))</f>
        <v>0.18273195876288661</v>
      </c>
      <c r="J3" s="4" t="s">
        <v>11</v>
      </c>
    </row>
    <row r="4" spans="1:10">
      <c r="A4" s="4" t="s">
        <v>10</v>
      </c>
      <c r="B4" s="5">
        <v>2023</v>
      </c>
      <c r="C4" s="6">
        <v>47</v>
      </c>
      <c r="D4" s="6">
        <v>63</v>
      </c>
      <c r="E4" s="6">
        <v>0.65</v>
      </c>
      <c r="F4" s="6">
        <f t="shared" si="0"/>
        <v>57.4</v>
      </c>
      <c r="G4" s="6">
        <f>F4/INDEX('Revision Basis'!$B$5:$B$10,MATCH(B4,'Revision Basis'!$A$5:$A$10,0))</f>
        <v>1</v>
      </c>
      <c r="H4" s="6">
        <f>F4/INDEX('Revision Basis'!$C$5:$C$10,MATCH(B4,'Revision Basis'!$A$5:$A$10,0))</f>
        <v>0.26881468646091883</v>
      </c>
      <c r="I4" s="6">
        <f>F4/INDEX('Revision Basis'!$D$5:$D$10,MATCH(B4,'Revision Basis'!$A$5:$A$10,0))</f>
        <v>0.15450874831763123</v>
      </c>
      <c r="J4" s="4" t="s">
        <v>11</v>
      </c>
    </row>
    <row r="5" spans="1:10">
      <c r="A5" s="4" t="s">
        <v>10</v>
      </c>
      <c r="B5" s="5">
        <v>2024</v>
      </c>
      <c r="C5" s="6">
        <v>47</v>
      </c>
      <c r="D5" s="6">
        <v>55</v>
      </c>
      <c r="E5" s="6">
        <v>0.65</v>
      </c>
      <c r="F5" s="6">
        <f t="shared" si="0"/>
        <v>52.2</v>
      </c>
      <c r="G5" s="6">
        <f>F5/INDEX('Revision Basis'!$B$5:$B$10,MATCH(B5,'Revision Basis'!$A$5:$A$10,0))</f>
        <v>1</v>
      </c>
      <c r="H5" s="6">
        <f>F5/INDEX('Revision Basis'!$C$5:$C$10,MATCH(B5,'Revision Basis'!$A$5:$A$10,0))</f>
        <v>0.26882274178597176</v>
      </c>
      <c r="I5" s="6">
        <f>F5/INDEX('Revision Basis'!$D$5:$D$10,MATCH(B5,'Revision Basis'!$A$5:$A$10,0))</f>
        <v>0.15890410958904111</v>
      </c>
      <c r="J5" s="4" t="s">
        <v>11</v>
      </c>
    </row>
    <row r="6" spans="1:10">
      <c r="A6" s="4" t="s">
        <v>10</v>
      </c>
      <c r="B6" s="5">
        <v>2025</v>
      </c>
      <c r="C6" s="6">
        <v>44</v>
      </c>
      <c r="D6" s="6">
        <v>61</v>
      </c>
      <c r="E6" s="6">
        <v>0.65</v>
      </c>
      <c r="F6" s="6">
        <f t="shared" si="0"/>
        <v>55.05</v>
      </c>
      <c r="G6" s="6">
        <f>F6/INDEX('Revision Basis'!$B$5:$B$10,MATCH(B6,'Revision Basis'!$A$5:$A$10,0))</f>
        <v>1</v>
      </c>
      <c r="H6" s="6">
        <f>F6/INDEX('Revision Basis'!$C$5:$C$10,MATCH(B6,'Revision Basis'!$A$5:$A$10,0))</f>
        <v>0.26881195370867716</v>
      </c>
      <c r="I6" s="6">
        <f>F6/INDEX('Revision Basis'!$D$5:$D$10,MATCH(B6,'Revision Basis'!$A$5:$A$10,0))</f>
        <v>0.16745247148288972</v>
      </c>
      <c r="J6" s="4" t="s">
        <v>11</v>
      </c>
    </row>
    <row r="7" spans="1:10">
      <c r="A7" s="4" t="s">
        <v>10</v>
      </c>
      <c r="B7" s="5">
        <v>2026</v>
      </c>
      <c r="C7" s="6">
        <v>50</v>
      </c>
      <c r="D7" s="6">
        <v>60</v>
      </c>
      <c r="E7" s="6">
        <v>0.65</v>
      </c>
      <c r="F7" s="6">
        <f t="shared" si="0"/>
        <v>56.5</v>
      </c>
      <c r="G7" s="6">
        <f>F7/INDEX('Revision Basis'!$B$5:$B$10,MATCH(B7,'Revision Basis'!$A$5:$A$10,0))</f>
        <v>1</v>
      </c>
      <c r="H7" s="6">
        <f>F7/INDEX('Revision Basis'!$C$5:$C$10,MATCH(B7,'Revision Basis'!$A$5:$A$10,0))</f>
        <v>0.26881720430107525</v>
      </c>
      <c r="I7" s="6">
        <f>F7/INDEX('Revision Basis'!$D$5:$D$10,MATCH(B7,'Revision Basis'!$A$5:$A$10,0))</f>
        <v>0.17357910906298002</v>
      </c>
      <c r="J7" s="4" t="s">
        <v>11</v>
      </c>
    </row>
    <row r="8" spans="1:10">
      <c r="A8" s="4" t="s">
        <v>12</v>
      </c>
      <c r="B8" s="5">
        <v>2021</v>
      </c>
      <c r="C8" s="6">
        <v>66</v>
      </c>
      <c r="D8" s="6">
        <v>84</v>
      </c>
      <c r="E8" s="6">
        <v>0.65</v>
      </c>
      <c r="F8" s="6">
        <f t="shared" si="0"/>
        <v>77.7</v>
      </c>
      <c r="G8" s="6">
        <f>F8/INDEX('Revision Basis'!$B$5:$B$10,MATCH(B8,'Revision Basis'!$A$5:$A$10,0))</f>
        <v>1.2</v>
      </c>
      <c r="H8" s="6">
        <f>F8/INDEX('Revision Basis'!$C$5:$C$10,MATCH(B8,'Revision Basis'!$A$5:$A$10,0))</f>
        <v>0.32258064516129031</v>
      </c>
      <c r="I8" s="6">
        <f>F8/INDEX('Revision Basis'!$D$5:$D$10,MATCH(B8,'Revision Basis'!$A$5:$A$10,0))</f>
        <v>0.27553191489361706</v>
      </c>
      <c r="J8" s="4" t="s">
        <v>11</v>
      </c>
    </row>
    <row r="9" spans="1:10">
      <c r="A9" s="4" t="s">
        <v>12</v>
      </c>
      <c r="B9" s="5">
        <v>2022</v>
      </c>
      <c r="C9" s="6">
        <v>64.8</v>
      </c>
      <c r="D9" s="6">
        <v>96</v>
      </c>
      <c r="E9" s="6">
        <v>0.65</v>
      </c>
      <c r="F9" s="6">
        <f t="shared" si="0"/>
        <v>85.08</v>
      </c>
      <c r="G9" s="6">
        <f>F9/INDEX('Revision Basis'!$B$5:$B$10,MATCH(B9,'Revision Basis'!$A$5:$A$10,0))</f>
        <v>1.2</v>
      </c>
      <c r="H9" s="6">
        <f>F9/INDEX('Revision Basis'!$C$5:$C$10,MATCH(B9,'Revision Basis'!$A$5:$A$10,0))</f>
        <v>0.3225781990521327</v>
      </c>
      <c r="I9" s="6">
        <f>F9/INDEX('Revision Basis'!$D$5:$D$10,MATCH(B9,'Revision Basis'!$A$5:$A$10,0))</f>
        <v>0.2192783505154639</v>
      </c>
      <c r="J9" s="4" t="s">
        <v>11</v>
      </c>
    </row>
    <row r="10" spans="1:10">
      <c r="A10" s="4" t="s">
        <v>12</v>
      </c>
      <c r="B10" s="5">
        <v>2023</v>
      </c>
      <c r="C10" s="6">
        <v>56.4</v>
      </c>
      <c r="D10" s="6">
        <v>75.599999999999994</v>
      </c>
      <c r="E10" s="6">
        <v>0.65</v>
      </c>
      <c r="F10" s="6">
        <f t="shared" si="0"/>
        <v>68.88</v>
      </c>
      <c r="G10" s="6">
        <f>F10/INDEX('Revision Basis'!$B$5:$B$10,MATCH(B10,'Revision Basis'!$A$5:$A$10,0))</f>
        <v>1.2</v>
      </c>
      <c r="H10" s="6">
        <f>F10/INDEX('Revision Basis'!$C$5:$C$10,MATCH(B10,'Revision Basis'!$A$5:$A$10,0))</f>
        <v>0.32257762375310256</v>
      </c>
      <c r="I10" s="6">
        <f>F10/INDEX('Revision Basis'!$D$5:$D$10,MATCH(B10,'Revision Basis'!$A$5:$A$10,0))</f>
        <v>0.18541049798115747</v>
      </c>
      <c r="J10" s="4" t="s">
        <v>11</v>
      </c>
    </row>
    <row r="11" spans="1:10">
      <c r="A11" s="4" t="s">
        <v>12</v>
      </c>
      <c r="B11" s="5">
        <v>2024</v>
      </c>
      <c r="C11" s="6">
        <v>56.4</v>
      </c>
      <c r="D11" s="6">
        <v>66</v>
      </c>
      <c r="E11" s="6">
        <v>0.65</v>
      </c>
      <c r="F11" s="6">
        <f t="shared" si="0"/>
        <v>62.64</v>
      </c>
      <c r="G11" s="6">
        <f>F11/INDEX('Revision Basis'!$B$5:$B$10,MATCH(B11,'Revision Basis'!$A$5:$A$10,0))</f>
        <v>1.2</v>
      </c>
      <c r="H11" s="6">
        <f>F11/INDEX('Revision Basis'!$C$5:$C$10,MATCH(B11,'Revision Basis'!$A$5:$A$10,0))</f>
        <v>0.32258729014316612</v>
      </c>
      <c r="I11" s="6">
        <f>F11/INDEX('Revision Basis'!$D$5:$D$10,MATCH(B11,'Revision Basis'!$A$5:$A$10,0))</f>
        <v>0.19068493150684931</v>
      </c>
      <c r="J11" s="4" t="s">
        <v>11</v>
      </c>
    </row>
    <row r="12" spans="1:10">
      <c r="A12" s="4" t="s">
        <v>12</v>
      </c>
      <c r="B12" s="5">
        <v>2025</v>
      </c>
      <c r="C12" s="6">
        <v>52.8</v>
      </c>
      <c r="D12" s="6">
        <v>73.2</v>
      </c>
      <c r="E12" s="6">
        <v>0.65</v>
      </c>
      <c r="F12" s="6">
        <f t="shared" si="0"/>
        <v>66.06</v>
      </c>
      <c r="G12" s="6">
        <f>F12/INDEX('Revision Basis'!$B$5:$B$10,MATCH(B12,'Revision Basis'!$A$5:$A$10,0))</f>
        <v>1.2000000000000002</v>
      </c>
      <c r="H12" s="6">
        <f>F12/INDEX('Revision Basis'!$C$5:$C$10,MATCH(B12,'Revision Basis'!$A$5:$A$10,0))</f>
        <v>0.32257434445041266</v>
      </c>
      <c r="I12" s="6">
        <f>F12/INDEX('Revision Basis'!$D$5:$D$10,MATCH(B12,'Revision Basis'!$A$5:$A$10,0))</f>
        <v>0.20094296577946769</v>
      </c>
      <c r="J12" s="4" t="s">
        <v>11</v>
      </c>
    </row>
    <row r="13" spans="1:10">
      <c r="A13" s="4" t="s">
        <v>12</v>
      </c>
      <c r="B13" s="5">
        <v>2026</v>
      </c>
      <c r="C13" s="6">
        <v>60</v>
      </c>
      <c r="D13" s="6">
        <v>72</v>
      </c>
      <c r="E13" s="6">
        <v>0.65</v>
      </c>
      <c r="F13" s="6">
        <f t="shared" si="0"/>
        <v>67.8</v>
      </c>
      <c r="G13" s="6">
        <f>F13/INDEX('Revision Basis'!$B$5:$B$10,MATCH(B13,'Revision Basis'!$A$5:$A$10,0))</f>
        <v>1.2</v>
      </c>
      <c r="H13" s="6">
        <f>F13/INDEX('Revision Basis'!$C$5:$C$10,MATCH(B13,'Revision Basis'!$A$5:$A$10,0))</f>
        <v>0.32258064516129031</v>
      </c>
      <c r="I13" s="6">
        <f>F13/INDEX('Revision Basis'!$D$5:$D$10,MATCH(B13,'Revision Basis'!$A$5:$A$10,0))</f>
        <v>0.20829493087557602</v>
      </c>
      <c r="J13" s="4" t="s">
        <v>11</v>
      </c>
    </row>
    <row r="14" spans="1:10">
      <c r="A14" s="4" t="s">
        <v>13</v>
      </c>
      <c r="B14" s="5">
        <v>2021</v>
      </c>
      <c r="C14" s="6">
        <v>121.55</v>
      </c>
      <c r="D14" s="6">
        <v>154.69999999999999</v>
      </c>
      <c r="E14" s="6">
        <v>0.65</v>
      </c>
      <c r="F14" s="6">
        <f t="shared" si="0"/>
        <v>143.0975</v>
      </c>
      <c r="G14" s="6">
        <f>F14/INDEX('Revision Basis'!$B$5:$B$10,MATCH(B14,'Revision Basis'!$A$5:$A$10,0))</f>
        <v>2.21</v>
      </c>
      <c r="H14" s="6">
        <f>F14/INDEX('Revision Basis'!$C$5:$C$10,MATCH(B14,'Revision Basis'!$A$5:$A$10,0))</f>
        <v>0.59408602150537637</v>
      </c>
      <c r="I14" s="6">
        <f>F14/INDEX('Revision Basis'!$D$5:$D$10,MATCH(B14,'Revision Basis'!$A$5:$A$10,0))</f>
        <v>0.50743794326241132</v>
      </c>
      <c r="J14" s="4" t="s">
        <v>11</v>
      </c>
    </row>
    <row r="15" spans="1:10">
      <c r="A15" s="4" t="s">
        <v>13</v>
      </c>
      <c r="B15" s="5">
        <v>2022</v>
      </c>
      <c r="C15" s="6">
        <v>119.34</v>
      </c>
      <c r="D15" s="6">
        <v>176.8</v>
      </c>
      <c r="E15" s="6">
        <v>0.65</v>
      </c>
      <c r="F15" s="6">
        <f t="shared" si="0"/>
        <v>156.68900000000002</v>
      </c>
      <c r="G15" s="6">
        <f>F15/INDEX('Revision Basis'!$B$5:$B$10,MATCH(B15,'Revision Basis'!$A$5:$A$10,0))</f>
        <v>2.21</v>
      </c>
      <c r="H15" s="6">
        <f>F15/INDEX('Revision Basis'!$C$5:$C$10,MATCH(B15,'Revision Basis'!$A$5:$A$10,0))</f>
        <v>0.59408151658767783</v>
      </c>
      <c r="I15" s="6">
        <f>F15/INDEX('Revision Basis'!$D$5:$D$10,MATCH(B15,'Revision Basis'!$A$5:$A$10,0))</f>
        <v>0.40383762886597946</v>
      </c>
      <c r="J15" s="4" t="s">
        <v>11</v>
      </c>
    </row>
    <row r="16" spans="1:10">
      <c r="A16" s="4" t="s">
        <v>13</v>
      </c>
      <c r="B16" s="5">
        <v>2023</v>
      </c>
      <c r="C16" s="6">
        <v>103.87</v>
      </c>
      <c r="D16" s="6">
        <v>139.22999999999999</v>
      </c>
      <c r="E16" s="6">
        <v>0.65</v>
      </c>
      <c r="F16" s="6">
        <f t="shared" si="0"/>
        <v>126.854</v>
      </c>
      <c r="G16" s="6">
        <f>F16/INDEX('Revision Basis'!$B$5:$B$10,MATCH(B16,'Revision Basis'!$A$5:$A$10,0))</f>
        <v>2.21</v>
      </c>
      <c r="H16" s="6">
        <f>F16/INDEX('Revision Basis'!$C$5:$C$10,MATCH(B16,'Revision Basis'!$A$5:$A$10,0))</f>
        <v>0.59408045707863066</v>
      </c>
      <c r="I16" s="6">
        <f>F16/INDEX('Revision Basis'!$D$5:$D$10,MATCH(B16,'Revision Basis'!$A$5:$A$10,0))</f>
        <v>0.341464333781965</v>
      </c>
      <c r="J16" s="4" t="s">
        <v>11</v>
      </c>
    </row>
    <row r="17" spans="1:10">
      <c r="A17" s="4" t="s">
        <v>13</v>
      </c>
      <c r="B17" s="5">
        <v>2024</v>
      </c>
      <c r="C17" s="6">
        <v>103.87</v>
      </c>
      <c r="D17" s="6">
        <v>121.55</v>
      </c>
      <c r="E17" s="6">
        <v>0.65</v>
      </c>
      <c r="F17" s="6">
        <f t="shared" si="0"/>
        <v>115.36199999999999</v>
      </c>
      <c r="G17" s="6">
        <f>F17/INDEX('Revision Basis'!$B$5:$B$10,MATCH(B17,'Revision Basis'!$A$5:$A$10,0))</f>
        <v>2.21</v>
      </c>
      <c r="H17" s="6">
        <f>F17/INDEX('Revision Basis'!$C$5:$C$10,MATCH(B17,'Revision Basis'!$A$5:$A$10,0))</f>
        <v>0.59409825934699756</v>
      </c>
      <c r="I17" s="6">
        <f>F17/INDEX('Revision Basis'!$D$5:$D$10,MATCH(B17,'Revision Basis'!$A$5:$A$10,0))</f>
        <v>0.35117808219178082</v>
      </c>
      <c r="J17" s="4" t="s">
        <v>11</v>
      </c>
    </row>
    <row r="18" spans="1:10">
      <c r="A18" s="4" t="s">
        <v>13</v>
      </c>
      <c r="B18" s="5">
        <v>2025</v>
      </c>
      <c r="C18" s="6">
        <v>97.24</v>
      </c>
      <c r="D18" s="6">
        <v>134.81</v>
      </c>
      <c r="E18" s="6">
        <v>0.65</v>
      </c>
      <c r="F18" s="6">
        <f t="shared" si="0"/>
        <v>121.6605</v>
      </c>
      <c r="G18" s="6">
        <f>F18/INDEX('Revision Basis'!$B$5:$B$10,MATCH(B18,'Revision Basis'!$A$5:$A$10,0))</f>
        <v>2.21</v>
      </c>
      <c r="H18" s="6">
        <f>F18/INDEX('Revision Basis'!$C$5:$C$10,MATCH(B18,'Revision Basis'!$A$5:$A$10,0))</f>
        <v>0.59407441769617664</v>
      </c>
      <c r="I18" s="6">
        <f>F18/INDEX('Revision Basis'!$D$5:$D$10,MATCH(B18,'Revision Basis'!$A$5:$A$10,0))</f>
        <v>0.37006996197718633</v>
      </c>
      <c r="J18" s="4" t="s">
        <v>11</v>
      </c>
    </row>
    <row r="19" spans="1:10">
      <c r="A19" s="4" t="s">
        <v>13</v>
      </c>
      <c r="B19" s="5">
        <v>2026</v>
      </c>
      <c r="C19" s="6">
        <v>110.5</v>
      </c>
      <c r="D19" s="6">
        <v>132.6</v>
      </c>
      <c r="E19" s="6">
        <v>0.65</v>
      </c>
      <c r="F19" s="6">
        <f t="shared" si="0"/>
        <v>124.86499999999999</v>
      </c>
      <c r="G19" s="6">
        <f>F19/INDEX('Revision Basis'!$B$5:$B$10,MATCH(B19,'Revision Basis'!$A$5:$A$10,0))</f>
        <v>2.21</v>
      </c>
      <c r="H19" s="6">
        <f>F19/INDEX('Revision Basis'!$C$5:$C$10,MATCH(B19,'Revision Basis'!$A$5:$A$10,0))</f>
        <v>0.59408602150537626</v>
      </c>
      <c r="I19" s="6">
        <f>F19/INDEX('Revision Basis'!$D$5:$D$10,MATCH(B19,'Revision Basis'!$A$5:$A$10,0))</f>
        <v>0.38360983102918583</v>
      </c>
      <c r="J19" s="4" t="s">
        <v>11</v>
      </c>
    </row>
    <row r="20" spans="1:10">
      <c r="A20" s="4" t="s">
        <v>14</v>
      </c>
      <c r="B20" s="5">
        <v>2021</v>
      </c>
      <c r="C20" s="6">
        <v>85.8</v>
      </c>
      <c r="D20" s="6">
        <v>109.2</v>
      </c>
      <c r="E20" s="6">
        <v>0.65</v>
      </c>
      <c r="F20" s="6">
        <f t="shared" si="0"/>
        <v>101.01</v>
      </c>
      <c r="G20" s="6">
        <f>F20/INDEX('Revision Basis'!$B$5:$B$10,MATCH(B20,'Revision Basis'!$A$5:$A$10,0))</f>
        <v>1.56</v>
      </c>
      <c r="H20" s="6">
        <f>F20/INDEX('Revision Basis'!$C$5:$C$10,MATCH(B20,'Revision Basis'!$A$5:$A$10,0))</f>
        <v>0.41935483870967744</v>
      </c>
      <c r="I20" s="6">
        <f>F20/INDEX('Revision Basis'!$D$5:$D$10,MATCH(B20,'Revision Basis'!$A$5:$A$10,0))</f>
        <v>0.35819148936170214</v>
      </c>
      <c r="J20" s="4" t="s">
        <v>11</v>
      </c>
    </row>
    <row r="21" spans="1:10">
      <c r="A21" s="4" t="s">
        <v>14</v>
      </c>
      <c r="B21" s="5">
        <v>2022</v>
      </c>
      <c r="C21" s="6">
        <v>84.24</v>
      </c>
      <c r="D21" s="6">
        <v>124.8</v>
      </c>
      <c r="E21" s="6">
        <v>0.65</v>
      </c>
      <c r="F21" s="6">
        <f t="shared" si="0"/>
        <v>110.604</v>
      </c>
      <c r="G21" s="6">
        <f>F21/INDEX('Revision Basis'!$B$5:$B$10,MATCH(B21,'Revision Basis'!$A$5:$A$10,0))</f>
        <v>1.5599999999999998</v>
      </c>
      <c r="H21" s="6">
        <f>F21/INDEX('Revision Basis'!$C$5:$C$10,MATCH(B21,'Revision Basis'!$A$5:$A$10,0))</f>
        <v>0.41935165876777253</v>
      </c>
      <c r="I21" s="6">
        <f>F21/INDEX('Revision Basis'!$D$5:$D$10,MATCH(B21,'Revision Basis'!$A$5:$A$10,0))</f>
        <v>0.28506185567010311</v>
      </c>
      <c r="J21" s="4" t="s">
        <v>11</v>
      </c>
    </row>
    <row r="22" spans="1:10">
      <c r="A22" s="4" t="s">
        <v>14</v>
      </c>
      <c r="B22" s="5">
        <v>2023</v>
      </c>
      <c r="C22" s="6">
        <v>73.319999999999993</v>
      </c>
      <c r="D22" s="6">
        <v>98.28</v>
      </c>
      <c r="E22" s="6">
        <v>0.65</v>
      </c>
      <c r="F22" s="6">
        <f t="shared" si="0"/>
        <v>89.543999999999997</v>
      </c>
      <c r="G22" s="6">
        <f>F22/INDEX('Revision Basis'!$B$5:$B$10,MATCH(B22,'Revision Basis'!$A$5:$A$10,0))</f>
        <v>1.56</v>
      </c>
      <c r="H22" s="6">
        <f>F22/INDEX('Revision Basis'!$C$5:$C$10,MATCH(B22,'Revision Basis'!$A$5:$A$10,0))</f>
        <v>0.41935091087903337</v>
      </c>
      <c r="I22" s="6">
        <f>F22/INDEX('Revision Basis'!$D$5:$D$10,MATCH(B22,'Revision Basis'!$A$5:$A$10,0))</f>
        <v>0.2410336473755047</v>
      </c>
      <c r="J22" s="4" t="s">
        <v>11</v>
      </c>
    </row>
    <row r="23" spans="1:10">
      <c r="A23" s="4" t="s">
        <v>14</v>
      </c>
      <c r="B23" s="5">
        <v>2024</v>
      </c>
      <c r="C23" s="6">
        <v>73.319999999999993</v>
      </c>
      <c r="D23" s="6">
        <v>85.8</v>
      </c>
      <c r="E23" s="6">
        <v>0.65</v>
      </c>
      <c r="F23" s="6">
        <f t="shared" si="0"/>
        <v>81.432000000000002</v>
      </c>
      <c r="G23" s="6">
        <f>F23/INDEX('Revision Basis'!$B$5:$B$10,MATCH(B23,'Revision Basis'!$A$5:$A$10,0))</f>
        <v>1.56</v>
      </c>
      <c r="H23" s="6">
        <f>F23/INDEX('Revision Basis'!$C$5:$C$10,MATCH(B23,'Revision Basis'!$A$5:$A$10,0))</f>
        <v>0.419363477186116</v>
      </c>
      <c r="I23" s="6">
        <f>F23/INDEX('Revision Basis'!$D$5:$D$10,MATCH(B23,'Revision Basis'!$A$5:$A$10,0))</f>
        <v>0.24789041095890413</v>
      </c>
      <c r="J23" s="4" t="s">
        <v>11</v>
      </c>
    </row>
    <row r="24" spans="1:10">
      <c r="A24" s="4" t="s">
        <v>14</v>
      </c>
      <c r="B24" s="5">
        <v>2025</v>
      </c>
      <c r="C24" s="6">
        <v>68.64</v>
      </c>
      <c r="D24" s="6">
        <v>95.16</v>
      </c>
      <c r="E24" s="6">
        <v>0.65</v>
      </c>
      <c r="F24" s="6">
        <f t="shared" si="0"/>
        <v>85.878</v>
      </c>
      <c r="G24" s="6">
        <f>F24/INDEX('Revision Basis'!$B$5:$B$10,MATCH(B24,'Revision Basis'!$A$5:$A$10,0))</f>
        <v>1.56</v>
      </c>
      <c r="H24" s="6">
        <f>F24/INDEX('Revision Basis'!$C$5:$C$10,MATCH(B24,'Revision Basis'!$A$5:$A$10,0))</f>
        <v>0.41934664778553643</v>
      </c>
      <c r="I24" s="6">
        <f>F24/INDEX('Revision Basis'!$D$5:$D$10,MATCH(B24,'Revision Basis'!$A$5:$A$10,0))</f>
        <v>0.26122585551330796</v>
      </c>
      <c r="J24" s="4" t="s">
        <v>11</v>
      </c>
    </row>
    <row r="25" spans="1:10">
      <c r="A25" s="4" t="s">
        <v>14</v>
      </c>
      <c r="B25" s="5">
        <v>2026</v>
      </c>
      <c r="C25" s="6">
        <v>78</v>
      </c>
      <c r="D25" s="6">
        <v>93.6</v>
      </c>
      <c r="E25" s="6">
        <v>0.65</v>
      </c>
      <c r="F25" s="6">
        <f t="shared" si="0"/>
        <v>88.14</v>
      </c>
      <c r="G25" s="6">
        <f>F25/INDEX('Revision Basis'!$B$5:$B$10,MATCH(B25,'Revision Basis'!$A$5:$A$10,0))</f>
        <v>1.56</v>
      </c>
      <c r="H25" s="6">
        <f>F25/INDEX('Revision Basis'!$C$5:$C$10,MATCH(B25,'Revision Basis'!$A$5:$A$10,0))</f>
        <v>0.41935483870967744</v>
      </c>
      <c r="I25" s="6">
        <f>F25/INDEX('Revision Basis'!$D$5:$D$10,MATCH(B25,'Revision Basis'!$A$5:$A$10,0))</f>
        <v>0.27078341013824886</v>
      </c>
      <c r="J25" s="4" t="s">
        <v>11</v>
      </c>
    </row>
    <row r="26" spans="1:10">
      <c r="A26" s="4" t="s">
        <v>15</v>
      </c>
      <c r="B26" s="5">
        <v>2021</v>
      </c>
      <c r="C26" s="6">
        <v>102.3</v>
      </c>
      <c r="D26" s="6">
        <v>130.19999999999999</v>
      </c>
      <c r="E26" s="6">
        <v>0.65</v>
      </c>
      <c r="F26" s="6">
        <f t="shared" si="0"/>
        <v>120.43499999999999</v>
      </c>
      <c r="G26" s="6">
        <f>F26/INDEX('Revision Basis'!$B$5:$B$10,MATCH(B26,'Revision Basis'!$A$5:$A$10,0))</f>
        <v>1.8599999999999999</v>
      </c>
      <c r="H26" s="6">
        <f>F26/INDEX('Revision Basis'!$C$5:$C$10,MATCH(B26,'Revision Basis'!$A$5:$A$10,0))</f>
        <v>0.49999999999999994</v>
      </c>
      <c r="I26" s="6">
        <f>F26/INDEX('Revision Basis'!$D$5:$D$10,MATCH(B26,'Revision Basis'!$A$5:$A$10,0))</f>
        <v>0.42707446808510635</v>
      </c>
      <c r="J26" s="4" t="s">
        <v>11</v>
      </c>
    </row>
    <row r="27" spans="1:10">
      <c r="A27" s="4" t="s">
        <v>15</v>
      </c>
      <c r="B27" s="5">
        <v>2022</v>
      </c>
      <c r="C27" s="6">
        <v>100.44</v>
      </c>
      <c r="D27" s="6">
        <v>148.80000000000001</v>
      </c>
      <c r="E27" s="6">
        <v>0.65</v>
      </c>
      <c r="F27" s="6">
        <f t="shared" si="0"/>
        <v>131.87400000000002</v>
      </c>
      <c r="G27" s="6">
        <f>F27/INDEX('Revision Basis'!$B$5:$B$10,MATCH(B27,'Revision Basis'!$A$5:$A$10,0))</f>
        <v>1.86</v>
      </c>
      <c r="H27" s="6">
        <f>F27/INDEX('Revision Basis'!$C$5:$C$10,MATCH(B27,'Revision Basis'!$A$5:$A$10,0))</f>
        <v>0.49999620853080579</v>
      </c>
      <c r="I27" s="6">
        <f>F27/INDEX('Revision Basis'!$D$5:$D$10,MATCH(B27,'Revision Basis'!$A$5:$A$10,0))</f>
        <v>0.33988144329896913</v>
      </c>
      <c r="J27" s="4" t="s">
        <v>11</v>
      </c>
    </row>
    <row r="28" spans="1:10">
      <c r="A28" s="4" t="s">
        <v>15</v>
      </c>
      <c r="B28" s="5">
        <v>2023</v>
      </c>
      <c r="C28" s="6">
        <v>87.42</v>
      </c>
      <c r="D28" s="6">
        <v>117.18</v>
      </c>
      <c r="E28" s="6">
        <v>0.65</v>
      </c>
      <c r="F28" s="6">
        <f t="shared" si="0"/>
        <v>106.76400000000001</v>
      </c>
      <c r="G28" s="6">
        <f>F28/INDEX('Revision Basis'!$B$5:$B$10,MATCH(B28,'Revision Basis'!$A$5:$A$10,0))</f>
        <v>1.8600000000000003</v>
      </c>
      <c r="H28" s="6">
        <f>F28/INDEX('Revision Basis'!$C$5:$C$10,MATCH(B28,'Revision Basis'!$A$5:$A$10,0))</f>
        <v>0.49999531681730908</v>
      </c>
      <c r="I28" s="6">
        <f>F28/INDEX('Revision Basis'!$D$5:$D$10,MATCH(B28,'Revision Basis'!$A$5:$A$10,0))</f>
        <v>0.28738627187079413</v>
      </c>
      <c r="J28" s="4" t="s">
        <v>11</v>
      </c>
    </row>
    <row r="29" spans="1:10">
      <c r="A29" s="4" t="s">
        <v>15</v>
      </c>
      <c r="B29" s="5">
        <v>2024</v>
      </c>
      <c r="C29" s="6">
        <v>87.42</v>
      </c>
      <c r="D29" s="6">
        <v>102.3</v>
      </c>
      <c r="E29" s="6">
        <v>0.65</v>
      </c>
      <c r="F29" s="6">
        <f t="shared" si="0"/>
        <v>97.091999999999999</v>
      </c>
      <c r="G29" s="6">
        <f>F29/INDEX('Revision Basis'!$B$5:$B$10,MATCH(B29,'Revision Basis'!$A$5:$A$10,0))</f>
        <v>1.8599999999999999</v>
      </c>
      <c r="H29" s="6">
        <f>F29/INDEX('Revision Basis'!$C$5:$C$10,MATCH(B29,'Revision Basis'!$A$5:$A$10,0))</f>
        <v>0.50001029972190747</v>
      </c>
      <c r="I29" s="6">
        <f>F29/INDEX('Revision Basis'!$D$5:$D$10,MATCH(B29,'Revision Basis'!$A$5:$A$10,0))</f>
        <v>0.29556164383561645</v>
      </c>
      <c r="J29" s="4" t="s">
        <v>11</v>
      </c>
    </row>
    <row r="30" spans="1:10">
      <c r="A30" s="4" t="s">
        <v>15</v>
      </c>
      <c r="B30" s="5">
        <v>2025</v>
      </c>
      <c r="C30" s="6">
        <v>81.84</v>
      </c>
      <c r="D30" s="6">
        <v>113.46</v>
      </c>
      <c r="E30" s="6">
        <v>0.65</v>
      </c>
      <c r="F30" s="6">
        <f t="shared" si="0"/>
        <v>102.393</v>
      </c>
      <c r="G30" s="6">
        <f>F30/INDEX('Revision Basis'!$B$5:$B$10,MATCH(B30,'Revision Basis'!$A$5:$A$10,0))</f>
        <v>1.86</v>
      </c>
      <c r="H30" s="6">
        <f>F30/INDEX('Revision Basis'!$C$5:$C$10,MATCH(B30,'Revision Basis'!$A$5:$A$10,0))</f>
        <v>0.49999023389813957</v>
      </c>
      <c r="I30" s="6">
        <f>F30/INDEX('Revision Basis'!$D$5:$D$10,MATCH(B30,'Revision Basis'!$A$5:$A$10,0))</f>
        <v>0.31146159695817488</v>
      </c>
      <c r="J30" s="4" t="s">
        <v>11</v>
      </c>
    </row>
    <row r="31" spans="1:10">
      <c r="A31" s="4" t="s">
        <v>15</v>
      </c>
      <c r="B31" s="5">
        <v>2026</v>
      </c>
      <c r="C31" s="6">
        <v>93</v>
      </c>
      <c r="D31" s="6">
        <v>111.6</v>
      </c>
      <c r="E31" s="6">
        <v>0.65</v>
      </c>
      <c r="F31" s="6">
        <f t="shared" si="0"/>
        <v>105.09</v>
      </c>
      <c r="G31" s="6">
        <f>F31/INDEX('Revision Basis'!$B$5:$B$10,MATCH(B31,'Revision Basis'!$A$5:$A$10,0))</f>
        <v>1.86</v>
      </c>
      <c r="H31" s="6">
        <f>F31/INDEX('Revision Basis'!$C$5:$C$10,MATCH(B31,'Revision Basis'!$A$5:$A$10,0))</f>
        <v>0.5</v>
      </c>
      <c r="I31" s="6">
        <f>F31/INDEX('Revision Basis'!$D$5:$D$10,MATCH(B31,'Revision Basis'!$A$5:$A$10,0))</f>
        <v>0.32285714285714284</v>
      </c>
      <c r="J31" s="4" t="s">
        <v>11</v>
      </c>
    </row>
    <row r="32" spans="1:10">
      <c r="A32" s="4" t="s">
        <v>16</v>
      </c>
      <c r="B32" s="5">
        <v>2021</v>
      </c>
      <c r="C32" s="6">
        <v>218.9</v>
      </c>
      <c r="D32" s="6">
        <v>278.60000000000002</v>
      </c>
      <c r="E32" s="6">
        <v>0.65</v>
      </c>
      <c r="F32" s="6">
        <f t="shared" si="0"/>
        <v>257.70500000000004</v>
      </c>
      <c r="G32" s="6">
        <f>F32/INDEX('Revision Basis'!$B$5:$B$10,MATCH(B32,'Revision Basis'!$A$5:$A$10,0))</f>
        <v>3.9800000000000004</v>
      </c>
      <c r="H32" s="6">
        <f>F32/INDEX('Revision Basis'!$C$5:$C$10,MATCH(B32,'Revision Basis'!$A$5:$A$10,0))</f>
        <v>1.0698924731182797</v>
      </c>
      <c r="I32" s="6">
        <f>F32/INDEX('Revision Basis'!$D$5:$D$10,MATCH(B32,'Revision Basis'!$A$5:$A$10,0))</f>
        <v>0.91384751773049655</v>
      </c>
      <c r="J32" s="4" t="s">
        <v>11</v>
      </c>
    </row>
    <row r="33" spans="1:10">
      <c r="A33" s="4" t="s">
        <v>16</v>
      </c>
      <c r="B33" s="5">
        <v>2022</v>
      </c>
      <c r="C33" s="6">
        <v>214.92</v>
      </c>
      <c r="D33" s="6">
        <v>318.39999999999998</v>
      </c>
      <c r="E33" s="6">
        <v>0.65</v>
      </c>
      <c r="F33" s="6">
        <f t="shared" si="0"/>
        <v>282.18200000000002</v>
      </c>
      <c r="G33" s="6">
        <f>F33/INDEX('Revision Basis'!$B$5:$B$10,MATCH(B33,'Revision Basis'!$A$5:$A$10,0))</f>
        <v>3.98</v>
      </c>
      <c r="H33" s="6">
        <f>F33/INDEX('Revision Basis'!$C$5:$C$10,MATCH(B33,'Revision Basis'!$A$5:$A$10,0))</f>
        <v>1.0698843601895736</v>
      </c>
      <c r="I33" s="6">
        <f>F33/INDEX('Revision Basis'!$D$5:$D$10,MATCH(B33,'Revision Basis'!$A$5:$A$10,0))</f>
        <v>0.72727319587628869</v>
      </c>
      <c r="J33" s="4" t="s">
        <v>11</v>
      </c>
    </row>
    <row r="34" spans="1:10">
      <c r="A34" s="4" t="s">
        <v>16</v>
      </c>
      <c r="B34" s="5">
        <v>2023</v>
      </c>
      <c r="C34" s="6">
        <v>187.06</v>
      </c>
      <c r="D34" s="6">
        <v>250.74</v>
      </c>
      <c r="E34" s="6">
        <v>0.65</v>
      </c>
      <c r="F34" s="6">
        <f t="shared" si="0"/>
        <v>228.452</v>
      </c>
      <c r="G34" s="6">
        <f>F34/INDEX('Revision Basis'!$B$5:$B$10,MATCH(B34,'Revision Basis'!$A$5:$A$10,0))</f>
        <v>3.98</v>
      </c>
      <c r="H34" s="6">
        <f>F34/INDEX('Revision Basis'!$C$5:$C$10,MATCH(B34,'Revision Basis'!$A$5:$A$10,0))</f>
        <v>1.069882452114457</v>
      </c>
      <c r="I34" s="6">
        <f>F34/INDEX('Revision Basis'!$D$5:$D$10,MATCH(B34,'Revision Basis'!$A$5:$A$10,0))</f>
        <v>0.61494481830417225</v>
      </c>
      <c r="J34" s="4" t="s">
        <v>11</v>
      </c>
    </row>
    <row r="35" spans="1:10">
      <c r="A35" s="4" t="s">
        <v>16</v>
      </c>
      <c r="B35" s="5">
        <v>2024</v>
      </c>
      <c r="C35" s="6">
        <v>187.06</v>
      </c>
      <c r="D35" s="6">
        <v>218.9</v>
      </c>
      <c r="E35" s="6">
        <v>0.65</v>
      </c>
      <c r="F35" s="6">
        <f t="shared" si="0"/>
        <v>207.756</v>
      </c>
      <c r="G35" s="6">
        <f>F35/INDEX('Revision Basis'!$B$5:$B$10,MATCH(B35,'Revision Basis'!$A$5:$A$10,0))</f>
        <v>3.98</v>
      </c>
      <c r="H35" s="6">
        <f>F35/INDEX('Revision Basis'!$C$5:$C$10,MATCH(B35,'Revision Basis'!$A$5:$A$10,0))</f>
        <v>1.0699145123081677</v>
      </c>
      <c r="I35" s="6">
        <f>F35/INDEX('Revision Basis'!$D$5:$D$10,MATCH(B35,'Revision Basis'!$A$5:$A$10,0))</f>
        <v>0.6324383561643836</v>
      </c>
      <c r="J35" s="4" t="s">
        <v>11</v>
      </c>
    </row>
    <row r="36" spans="1:10">
      <c r="A36" s="4" t="s">
        <v>16</v>
      </c>
      <c r="B36" s="5">
        <v>2025</v>
      </c>
      <c r="C36" s="6">
        <v>175.12</v>
      </c>
      <c r="D36" s="6">
        <v>242.78</v>
      </c>
      <c r="E36" s="6">
        <v>0.65</v>
      </c>
      <c r="F36" s="6">
        <f t="shared" si="0"/>
        <v>219.09899999999999</v>
      </c>
      <c r="G36" s="6">
        <f>F36/INDEX('Revision Basis'!$B$5:$B$10,MATCH(B36,'Revision Basis'!$A$5:$A$10,0))</f>
        <v>3.98</v>
      </c>
      <c r="H36" s="6">
        <f>F36/INDEX('Revision Basis'!$C$5:$C$10,MATCH(B36,'Revision Basis'!$A$5:$A$10,0))</f>
        <v>1.0698715757605353</v>
      </c>
      <c r="I36" s="6">
        <f>F36/INDEX('Revision Basis'!$D$5:$D$10,MATCH(B36,'Revision Basis'!$A$5:$A$10,0))</f>
        <v>0.66646083650190113</v>
      </c>
      <c r="J36" s="4" t="s">
        <v>11</v>
      </c>
    </row>
    <row r="37" spans="1:10">
      <c r="A37" s="4" t="s">
        <v>16</v>
      </c>
      <c r="B37" s="5">
        <v>2026</v>
      </c>
      <c r="C37" s="6">
        <v>199</v>
      </c>
      <c r="D37" s="6">
        <v>238.8</v>
      </c>
      <c r="E37" s="6">
        <v>0.65</v>
      </c>
      <c r="F37" s="6">
        <f t="shared" si="0"/>
        <v>224.87</v>
      </c>
      <c r="G37" s="6">
        <f>F37/INDEX('Revision Basis'!$B$5:$B$10,MATCH(B37,'Revision Basis'!$A$5:$A$10,0))</f>
        <v>3.98</v>
      </c>
      <c r="H37" s="6">
        <f>F37/INDEX('Revision Basis'!$C$5:$C$10,MATCH(B37,'Revision Basis'!$A$5:$A$10,0))</f>
        <v>1.0698924731182795</v>
      </c>
      <c r="I37" s="6">
        <f>F37/INDEX('Revision Basis'!$D$5:$D$10,MATCH(B37,'Revision Basis'!$A$5:$A$10,0))</f>
        <v>0.69084485407066054</v>
      </c>
      <c r="J37" s="4" t="s">
        <v>11</v>
      </c>
    </row>
    <row r="38" spans="1:10">
      <c r="A38" s="4" t="s">
        <v>17</v>
      </c>
      <c r="B38" s="5">
        <v>2021</v>
      </c>
      <c r="C38" s="6">
        <v>121.55</v>
      </c>
      <c r="D38" s="6">
        <v>154.69999999999999</v>
      </c>
      <c r="E38" s="6">
        <v>0.65</v>
      </c>
      <c r="F38" s="6">
        <f t="shared" si="0"/>
        <v>143.0975</v>
      </c>
      <c r="G38" s="6">
        <f>F38/INDEX('Revision Basis'!$B$5:$B$10,MATCH(B38,'Revision Basis'!$A$5:$A$10,0))</f>
        <v>2.21</v>
      </c>
      <c r="H38" s="6">
        <f>F38/INDEX('Revision Basis'!$C$5:$C$10,MATCH(B38,'Revision Basis'!$A$5:$A$10,0))</f>
        <v>0.59408602150537637</v>
      </c>
      <c r="I38" s="6">
        <f>F38/INDEX('Revision Basis'!$D$5:$D$10,MATCH(B38,'Revision Basis'!$A$5:$A$10,0))</f>
        <v>0.50743794326241132</v>
      </c>
      <c r="J38" s="4" t="s">
        <v>11</v>
      </c>
    </row>
    <row r="39" spans="1:10">
      <c r="A39" s="4" t="s">
        <v>17</v>
      </c>
      <c r="B39" s="5">
        <v>2022</v>
      </c>
      <c r="C39" s="6">
        <v>119.34</v>
      </c>
      <c r="D39" s="6">
        <v>176.8</v>
      </c>
      <c r="E39" s="6">
        <v>0.65</v>
      </c>
      <c r="F39" s="6">
        <f t="shared" si="0"/>
        <v>156.68900000000002</v>
      </c>
      <c r="G39" s="6">
        <f>F39/INDEX('Revision Basis'!$B$5:$B$10,MATCH(B39,'Revision Basis'!$A$5:$A$10,0))</f>
        <v>2.21</v>
      </c>
      <c r="H39" s="6">
        <f>F39/INDEX('Revision Basis'!$C$5:$C$10,MATCH(B39,'Revision Basis'!$A$5:$A$10,0))</f>
        <v>0.59408151658767783</v>
      </c>
      <c r="I39" s="6">
        <f>F39/INDEX('Revision Basis'!$D$5:$D$10,MATCH(B39,'Revision Basis'!$A$5:$A$10,0))</f>
        <v>0.40383762886597946</v>
      </c>
      <c r="J39" s="4" t="s">
        <v>11</v>
      </c>
    </row>
    <row r="40" spans="1:10">
      <c r="A40" s="4" t="s">
        <v>17</v>
      </c>
      <c r="B40" s="5">
        <v>2023</v>
      </c>
      <c r="C40" s="6">
        <v>103.87</v>
      </c>
      <c r="D40" s="6">
        <v>139.22999999999999</v>
      </c>
      <c r="E40" s="6">
        <v>0.65</v>
      </c>
      <c r="F40" s="6">
        <f t="shared" si="0"/>
        <v>126.854</v>
      </c>
      <c r="G40" s="6">
        <f>F40/INDEX('Revision Basis'!$B$5:$B$10,MATCH(B40,'Revision Basis'!$A$5:$A$10,0))</f>
        <v>2.21</v>
      </c>
      <c r="H40" s="6">
        <f>F40/INDEX('Revision Basis'!$C$5:$C$10,MATCH(B40,'Revision Basis'!$A$5:$A$10,0))</f>
        <v>0.59408045707863066</v>
      </c>
      <c r="I40" s="6">
        <f>F40/INDEX('Revision Basis'!$D$5:$D$10,MATCH(B40,'Revision Basis'!$A$5:$A$10,0))</f>
        <v>0.341464333781965</v>
      </c>
      <c r="J40" s="4" t="s">
        <v>11</v>
      </c>
    </row>
    <row r="41" spans="1:10">
      <c r="A41" s="4" t="s">
        <v>17</v>
      </c>
      <c r="B41" s="5">
        <v>2024</v>
      </c>
      <c r="C41" s="6">
        <v>103.87</v>
      </c>
      <c r="D41" s="6">
        <v>121.55</v>
      </c>
      <c r="E41" s="6">
        <v>0.65</v>
      </c>
      <c r="F41" s="6">
        <f t="shared" si="0"/>
        <v>115.36199999999999</v>
      </c>
      <c r="G41" s="6">
        <f>F41/INDEX('Revision Basis'!$B$5:$B$10,MATCH(B41,'Revision Basis'!$A$5:$A$10,0))</f>
        <v>2.21</v>
      </c>
      <c r="H41" s="6">
        <f>F41/INDEX('Revision Basis'!$C$5:$C$10,MATCH(B41,'Revision Basis'!$A$5:$A$10,0))</f>
        <v>0.59409825934699756</v>
      </c>
      <c r="I41" s="6">
        <f>F41/INDEX('Revision Basis'!$D$5:$D$10,MATCH(B41,'Revision Basis'!$A$5:$A$10,0))</f>
        <v>0.35117808219178082</v>
      </c>
      <c r="J41" s="4" t="s">
        <v>11</v>
      </c>
    </row>
    <row r="42" spans="1:10">
      <c r="A42" s="4" t="s">
        <v>17</v>
      </c>
      <c r="B42" s="5">
        <v>2025</v>
      </c>
      <c r="C42" s="6">
        <v>97.24</v>
      </c>
      <c r="D42" s="6">
        <v>134.81</v>
      </c>
      <c r="E42" s="6">
        <v>0.65</v>
      </c>
      <c r="F42" s="6">
        <f t="shared" si="0"/>
        <v>121.6605</v>
      </c>
      <c r="G42" s="6">
        <f>F42/INDEX('Revision Basis'!$B$5:$B$10,MATCH(B42,'Revision Basis'!$A$5:$A$10,0))</f>
        <v>2.21</v>
      </c>
      <c r="H42" s="6">
        <f>F42/INDEX('Revision Basis'!$C$5:$C$10,MATCH(B42,'Revision Basis'!$A$5:$A$10,0))</f>
        <v>0.59407441769617664</v>
      </c>
      <c r="I42" s="6">
        <f>F42/INDEX('Revision Basis'!$D$5:$D$10,MATCH(B42,'Revision Basis'!$A$5:$A$10,0))</f>
        <v>0.37006996197718633</v>
      </c>
      <c r="J42" s="4" t="s">
        <v>11</v>
      </c>
    </row>
    <row r="43" spans="1:10">
      <c r="A43" s="4" t="s">
        <v>17</v>
      </c>
      <c r="B43" s="5">
        <v>2026</v>
      </c>
      <c r="C43" s="6">
        <v>110.5</v>
      </c>
      <c r="D43" s="6">
        <v>132.6</v>
      </c>
      <c r="E43" s="6">
        <v>0.65</v>
      </c>
      <c r="F43" s="6">
        <f t="shared" si="0"/>
        <v>124.86499999999999</v>
      </c>
      <c r="G43" s="6">
        <f>F43/INDEX('Revision Basis'!$B$5:$B$10,MATCH(B43,'Revision Basis'!$A$5:$A$10,0))</f>
        <v>2.21</v>
      </c>
      <c r="H43" s="6">
        <f>F43/INDEX('Revision Basis'!$C$5:$C$10,MATCH(B43,'Revision Basis'!$A$5:$A$10,0))</f>
        <v>0.59408602150537626</v>
      </c>
      <c r="I43" s="6">
        <f>F43/INDEX('Revision Basis'!$D$5:$D$10,MATCH(B43,'Revision Basis'!$A$5:$A$10,0))</f>
        <v>0.38360983102918583</v>
      </c>
      <c r="J43" s="4" t="s">
        <v>11</v>
      </c>
    </row>
    <row r="44" spans="1:10">
      <c r="A44" s="4" t="s">
        <v>18</v>
      </c>
      <c r="B44" s="5">
        <v>2021</v>
      </c>
      <c r="C44" s="6">
        <v>68.2</v>
      </c>
      <c r="D44" s="6">
        <v>86.8</v>
      </c>
      <c r="E44" s="6">
        <v>0.65</v>
      </c>
      <c r="F44" s="6">
        <f t="shared" si="0"/>
        <v>80.289999999999992</v>
      </c>
      <c r="G44" s="6">
        <f>F44/INDEX('Revision Basis'!$B$5:$B$10,MATCH(B44,'Revision Basis'!$A$5:$A$10,0))</f>
        <v>1.2399999999999998</v>
      </c>
      <c r="H44" s="6">
        <f>F44/INDEX('Revision Basis'!$C$5:$C$10,MATCH(B44,'Revision Basis'!$A$5:$A$10,0))</f>
        <v>0.33333333333333331</v>
      </c>
      <c r="I44" s="6">
        <f>F44/INDEX('Revision Basis'!$D$5:$D$10,MATCH(B44,'Revision Basis'!$A$5:$A$10,0))</f>
        <v>0.28471631205673759</v>
      </c>
      <c r="J44" s="4" t="s">
        <v>11</v>
      </c>
    </row>
    <row r="45" spans="1:10">
      <c r="A45" s="4" t="s">
        <v>18</v>
      </c>
      <c r="B45" s="5">
        <v>2022</v>
      </c>
      <c r="C45" s="6">
        <v>66.959999999999994</v>
      </c>
      <c r="D45" s="6">
        <v>99.2</v>
      </c>
      <c r="E45" s="6">
        <v>0.65</v>
      </c>
      <c r="F45" s="6">
        <f t="shared" si="0"/>
        <v>87.915999999999997</v>
      </c>
      <c r="G45" s="6">
        <f>F45/INDEX('Revision Basis'!$B$5:$B$10,MATCH(B45,'Revision Basis'!$A$5:$A$10,0))</f>
        <v>1.2399999999999998</v>
      </c>
      <c r="H45" s="6">
        <f>F45/INDEX('Revision Basis'!$C$5:$C$10,MATCH(B45,'Revision Basis'!$A$5:$A$10,0))</f>
        <v>0.3333308056872038</v>
      </c>
      <c r="I45" s="6">
        <f>F45/INDEX('Revision Basis'!$D$5:$D$10,MATCH(B45,'Revision Basis'!$A$5:$A$10,0))</f>
        <v>0.22658762886597938</v>
      </c>
      <c r="J45" s="4" t="s">
        <v>11</v>
      </c>
    </row>
    <row r="46" spans="1:10">
      <c r="A46" s="4" t="s">
        <v>18</v>
      </c>
      <c r="B46" s="5">
        <v>2023</v>
      </c>
      <c r="C46" s="6">
        <v>58.28</v>
      </c>
      <c r="D46" s="6">
        <v>78.12</v>
      </c>
      <c r="E46" s="6">
        <v>0.65</v>
      </c>
      <c r="F46" s="6">
        <f t="shared" si="0"/>
        <v>71.176000000000002</v>
      </c>
      <c r="G46" s="6">
        <f>F46/INDEX('Revision Basis'!$B$5:$B$10,MATCH(B46,'Revision Basis'!$A$5:$A$10,0))</f>
        <v>1.24</v>
      </c>
      <c r="H46" s="6">
        <f>F46/INDEX('Revision Basis'!$C$5:$C$10,MATCH(B46,'Revision Basis'!$A$5:$A$10,0))</f>
        <v>0.33333021121153938</v>
      </c>
      <c r="I46" s="6">
        <f>F46/INDEX('Revision Basis'!$D$5:$D$10,MATCH(B46,'Revision Basis'!$A$5:$A$10,0))</f>
        <v>0.19159084791386272</v>
      </c>
      <c r="J46" s="4" t="s">
        <v>11</v>
      </c>
    </row>
    <row r="47" spans="1:10">
      <c r="A47" s="4" t="s">
        <v>18</v>
      </c>
      <c r="B47" s="5">
        <v>2024</v>
      </c>
      <c r="C47" s="6">
        <v>58.28</v>
      </c>
      <c r="D47" s="6">
        <v>68.2</v>
      </c>
      <c r="E47" s="6">
        <v>0.65</v>
      </c>
      <c r="F47" s="6">
        <f t="shared" si="0"/>
        <v>64.728000000000009</v>
      </c>
      <c r="G47" s="6">
        <f>F47/INDEX('Revision Basis'!$B$5:$B$10,MATCH(B47,'Revision Basis'!$A$5:$A$10,0))</f>
        <v>1.24</v>
      </c>
      <c r="H47" s="6">
        <f>F47/INDEX('Revision Basis'!$C$5:$C$10,MATCH(B47,'Revision Basis'!$A$5:$A$10,0))</f>
        <v>0.33334019981460505</v>
      </c>
      <c r="I47" s="6">
        <f>F47/INDEX('Revision Basis'!$D$5:$D$10,MATCH(B47,'Revision Basis'!$A$5:$A$10,0))</f>
        <v>0.19704109589041099</v>
      </c>
      <c r="J47" s="4" t="s">
        <v>11</v>
      </c>
    </row>
    <row r="48" spans="1:10">
      <c r="A48" s="4" t="s">
        <v>18</v>
      </c>
      <c r="B48" s="5">
        <v>2025</v>
      </c>
      <c r="C48" s="6">
        <v>54.56</v>
      </c>
      <c r="D48" s="6">
        <v>75.64</v>
      </c>
      <c r="E48" s="6">
        <v>0.65</v>
      </c>
      <c r="F48" s="6">
        <f t="shared" si="0"/>
        <v>68.262</v>
      </c>
      <c r="G48" s="6">
        <f>F48/INDEX('Revision Basis'!$B$5:$B$10,MATCH(B48,'Revision Basis'!$A$5:$A$10,0))</f>
        <v>1.24</v>
      </c>
      <c r="H48" s="6">
        <f>F48/INDEX('Revision Basis'!$C$5:$C$10,MATCH(B48,'Revision Basis'!$A$5:$A$10,0))</f>
        <v>0.33332682259875973</v>
      </c>
      <c r="I48" s="6">
        <f>F48/INDEX('Revision Basis'!$D$5:$D$10,MATCH(B48,'Revision Basis'!$A$5:$A$10,0))</f>
        <v>0.20764106463878326</v>
      </c>
      <c r="J48" s="4" t="s">
        <v>11</v>
      </c>
    </row>
    <row r="49" spans="1:10">
      <c r="A49" s="4" t="s">
        <v>18</v>
      </c>
      <c r="B49" s="5">
        <v>2026</v>
      </c>
      <c r="C49" s="6">
        <v>62</v>
      </c>
      <c r="D49" s="6">
        <v>74.400000000000006</v>
      </c>
      <c r="E49" s="6">
        <v>0.65</v>
      </c>
      <c r="F49" s="6">
        <f t="shared" si="0"/>
        <v>70.06</v>
      </c>
      <c r="G49" s="6">
        <f>F49/INDEX('Revision Basis'!$B$5:$B$10,MATCH(B49,'Revision Basis'!$A$5:$A$10,0))</f>
        <v>1.24</v>
      </c>
      <c r="H49" s="6">
        <f>F49/INDEX('Revision Basis'!$C$5:$C$10,MATCH(B49,'Revision Basis'!$A$5:$A$10,0))</f>
        <v>0.33333333333333331</v>
      </c>
      <c r="I49" s="6">
        <f>F49/INDEX('Revision Basis'!$D$5:$D$10,MATCH(B49,'Revision Basis'!$A$5:$A$10,0))</f>
        <v>0.21523809523809526</v>
      </c>
      <c r="J49" s="4" t="s">
        <v>11</v>
      </c>
    </row>
    <row r="50" spans="1:10">
      <c r="A50" s="4" t="s">
        <v>19</v>
      </c>
      <c r="B50" s="5">
        <v>2021</v>
      </c>
      <c r="C50" s="6">
        <v>78.099999999999994</v>
      </c>
      <c r="D50" s="6">
        <v>99.4</v>
      </c>
      <c r="E50" s="6">
        <v>0.65</v>
      </c>
      <c r="F50" s="6">
        <f t="shared" si="0"/>
        <v>91.945000000000007</v>
      </c>
      <c r="G50" s="6">
        <f>F50/INDEX('Revision Basis'!$B$5:$B$10,MATCH(B50,'Revision Basis'!$A$5:$A$10,0))</f>
        <v>1.4200000000000002</v>
      </c>
      <c r="H50" s="6">
        <f>F50/INDEX('Revision Basis'!$C$5:$C$10,MATCH(B50,'Revision Basis'!$A$5:$A$10,0))</f>
        <v>0.38172043010752693</v>
      </c>
      <c r="I50" s="6">
        <f>F50/INDEX('Revision Basis'!$D$5:$D$10,MATCH(B50,'Revision Basis'!$A$5:$A$10,0))</f>
        <v>0.32604609929078016</v>
      </c>
      <c r="J50" s="4" t="s">
        <v>11</v>
      </c>
    </row>
    <row r="51" spans="1:10">
      <c r="A51" s="4" t="s">
        <v>19</v>
      </c>
      <c r="B51" s="5">
        <v>2022</v>
      </c>
      <c r="C51" s="6">
        <v>76.680000000000007</v>
      </c>
      <c r="D51" s="6">
        <v>113.6</v>
      </c>
      <c r="E51" s="6">
        <v>0.65</v>
      </c>
      <c r="F51" s="6">
        <f t="shared" si="0"/>
        <v>100.678</v>
      </c>
      <c r="G51" s="6">
        <f>F51/INDEX('Revision Basis'!$B$5:$B$10,MATCH(B51,'Revision Basis'!$A$5:$A$10,0))</f>
        <v>1.42</v>
      </c>
      <c r="H51" s="6">
        <f>F51/INDEX('Revision Basis'!$C$5:$C$10,MATCH(B51,'Revision Basis'!$A$5:$A$10,0))</f>
        <v>0.38171753554502369</v>
      </c>
      <c r="I51" s="6">
        <f>F51/INDEX('Revision Basis'!$D$5:$D$10,MATCH(B51,'Revision Basis'!$A$5:$A$10,0))</f>
        <v>0.25947938144329896</v>
      </c>
      <c r="J51" s="4" t="s">
        <v>11</v>
      </c>
    </row>
    <row r="52" spans="1:10">
      <c r="A52" s="4" t="s">
        <v>19</v>
      </c>
      <c r="B52" s="5">
        <v>2023</v>
      </c>
      <c r="C52" s="6">
        <v>66.739999999999995</v>
      </c>
      <c r="D52" s="6">
        <v>89.46</v>
      </c>
      <c r="E52" s="6">
        <v>0.65</v>
      </c>
      <c r="F52" s="6">
        <f t="shared" si="0"/>
        <v>81.507999999999996</v>
      </c>
      <c r="G52" s="6">
        <f>F52/INDEX('Revision Basis'!$B$5:$B$10,MATCH(B52,'Revision Basis'!$A$5:$A$10,0))</f>
        <v>1.42</v>
      </c>
      <c r="H52" s="6">
        <f>F52/INDEX('Revision Basis'!$C$5:$C$10,MATCH(B52,'Revision Basis'!$A$5:$A$10,0))</f>
        <v>0.38171685477450473</v>
      </c>
      <c r="I52" s="6">
        <f>F52/INDEX('Revision Basis'!$D$5:$D$10,MATCH(B52,'Revision Basis'!$A$5:$A$10,0))</f>
        <v>0.21940242261103632</v>
      </c>
      <c r="J52" s="4" t="s">
        <v>11</v>
      </c>
    </row>
    <row r="53" spans="1:10">
      <c r="A53" s="4" t="s">
        <v>19</v>
      </c>
      <c r="B53" s="5">
        <v>2024</v>
      </c>
      <c r="C53" s="6">
        <v>66.739999999999995</v>
      </c>
      <c r="D53" s="6">
        <v>78.099999999999994</v>
      </c>
      <c r="E53" s="6">
        <v>0.65</v>
      </c>
      <c r="F53" s="6">
        <f t="shared" si="0"/>
        <v>74.123999999999995</v>
      </c>
      <c r="G53" s="6">
        <f>F53/INDEX('Revision Basis'!$B$5:$B$10,MATCH(B53,'Revision Basis'!$A$5:$A$10,0))</f>
        <v>1.42</v>
      </c>
      <c r="H53" s="6">
        <f>F53/INDEX('Revision Basis'!$C$5:$C$10,MATCH(B53,'Revision Basis'!$A$5:$A$10,0))</f>
        <v>0.38172829333607988</v>
      </c>
      <c r="I53" s="6">
        <f>F53/INDEX('Revision Basis'!$D$5:$D$10,MATCH(B53,'Revision Basis'!$A$5:$A$10,0))</f>
        <v>0.22564383561643833</v>
      </c>
      <c r="J53" s="4" t="s">
        <v>11</v>
      </c>
    </row>
    <row r="54" spans="1:10">
      <c r="A54" s="4" t="s">
        <v>19</v>
      </c>
      <c r="B54" s="5">
        <v>2025</v>
      </c>
      <c r="C54" s="6">
        <v>62.48</v>
      </c>
      <c r="D54" s="6">
        <v>86.62</v>
      </c>
      <c r="E54" s="6">
        <v>0.65</v>
      </c>
      <c r="F54" s="6">
        <f t="shared" si="0"/>
        <v>78.171000000000006</v>
      </c>
      <c r="G54" s="6">
        <f>F54/INDEX('Revision Basis'!$B$5:$B$10,MATCH(B54,'Revision Basis'!$A$5:$A$10,0))</f>
        <v>1.4200000000000002</v>
      </c>
      <c r="H54" s="6">
        <f>F54/INDEX('Revision Basis'!$C$5:$C$10,MATCH(B54,'Revision Basis'!$A$5:$A$10,0))</f>
        <v>0.38171297426632167</v>
      </c>
      <c r="I54" s="6">
        <f>F54/INDEX('Revision Basis'!$D$5:$D$10,MATCH(B54,'Revision Basis'!$A$5:$A$10,0))</f>
        <v>0.23778250950570345</v>
      </c>
      <c r="J54" s="4" t="s">
        <v>11</v>
      </c>
    </row>
    <row r="55" spans="1:10">
      <c r="A55" s="4" t="s">
        <v>19</v>
      </c>
      <c r="B55" s="5">
        <v>2026</v>
      </c>
      <c r="C55" s="6">
        <v>71</v>
      </c>
      <c r="D55" s="6">
        <v>85.2</v>
      </c>
      <c r="E55" s="6">
        <v>0.65</v>
      </c>
      <c r="F55" s="6">
        <f t="shared" si="0"/>
        <v>80.23</v>
      </c>
      <c r="G55" s="6">
        <f>F55/INDEX('Revision Basis'!$B$5:$B$10,MATCH(B55,'Revision Basis'!$A$5:$A$10,0))</f>
        <v>1.4200000000000002</v>
      </c>
      <c r="H55" s="6">
        <f>F55/INDEX('Revision Basis'!$C$5:$C$10,MATCH(B55,'Revision Basis'!$A$5:$A$10,0))</f>
        <v>0.38172043010752688</v>
      </c>
      <c r="I55" s="6">
        <f>F55/INDEX('Revision Basis'!$D$5:$D$10,MATCH(B55,'Revision Basis'!$A$5:$A$10,0))</f>
        <v>0.24648233486943166</v>
      </c>
      <c r="J55" s="4" t="s">
        <v>11</v>
      </c>
    </row>
    <row r="56" spans="1:10">
      <c r="A56" s="4" t="s">
        <v>20</v>
      </c>
      <c r="B56" s="5">
        <v>2021</v>
      </c>
      <c r="C56" s="6">
        <v>102.3</v>
      </c>
      <c r="D56" s="6">
        <v>130.19999999999999</v>
      </c>
      <c r="E56" s="6">
        <v>0.65</v>
      </c>
      <c r="F56" s="6">
        <f t="shared" si="0"/>
        <v>120.43499999999999</v>
      </c>
      <c r="G56" s="6">
        <f>F56/INDEX('Revision Basis'!$B$5:$B$10,MATCH(B56,'Revision Basis'!$A$5:$A$10,0))</f>
        <v>1.8599999999999999</v>
      </c>
      <c r="H56" s="6">
        <f>F56/INDEX('Revision Basis'!$C$5:$C$10,MATCH(B56,'Revision Basis'!$A$5:$A$10,0))</f>
        <v>0.49999999999999994</v>
      </c>
      <c r="I56" s="6">
        <f>F56/INDEX('Revision Basis'!$D$5:$D$10,MATCH(B56,'Revision Basis'!$A$5:$A$10,0))</f>
        <v>0.42707446808510635</v>
      </c>
      <c r="J56" s="4" t="s">
        <v>11</v>
      </c>
    </row>
    <row r="57" spans="1:10">
      <c r="A57" s="4" t="s">
        <v>20</v>
      </c>
      <c r="B57" s="5">
        <v>2022</v>
      </c>
      <c r="C57" s="6">
        <v>100.44</v>
      </c>
      <c r="D57" s="6">
        <v>148.80000000000001</v>
      </c>
      <c r="E57" s="6">
        <v>0.65</v>
      </c>
      <c r="F57" s="6">
        <f t="shared" si="0"/>
        <v>131.87400000000002</v>
      </c>
      <c r="G57" s="6">
        <f>F57/INDEX('Revision Basis'!$B$5:$B$10,MATCH(B57,'Revision Basis'!$A$5:$A$10,0))</f>
        <v>1.86</v>
      </c>
      <c r="H57" s="6">
        <f>F57/INDEX('Revision Basis'!$C$5:$C$10,MATCH(B57,'Revision Basis'!$A$5:$A$10,0))</f>
        <v>0.49999620853080579</v>
      </c>
      <c r="I57" s="6">
        <f>F57/INDEX('Revision Basis'!$D$5:$D$10,MATCH(B57,'Revision Basis'!$A$5:$A$10,0))</f>
        <v>0.33988144329896913</v>
      </c>
      <c r="J57" s="4" t="s">
        <v>11</v>
      </c>
    </row>
    <row r="58" spans="1:10">
      <c r="A58" s="4" t="s">
        <v>20</v>
      </c>
      <c r="B58" s="5">
        <v>2023</v>
      </c>
      <c r="C58" s="6">
        <v>87.42</v>
      </c>
      <c r="D58" s="6">
        <v>117.18</v>
      </c>
      <c r="E58" s="6">
        <v>0.65</v>
      </c>
      <c r="F58" s="6">
        <f t="shared" si="0"/>
        <v>106.76400000000001</v>
      </c>
      <c r="G58" s="6">
        <f>F58/INDEX('Revision Basis'!$B$5:$B$10,MATCH(B58,'Revision Basis'!$A$5:$A$10,0))</f>
        <v>1.8600000000000003</v>
      </c>
      <c r="H58" s="6">
        <f>F58/INDEX('Revision Basis'!$C$5:$C$10,MATCH(B58,'Revision Basis'!$A$5:$A$10,0))</f>
        <v>0.49999531681730908</v>
      </c>
      <c r="I58" s="6">
        <f>F58/INDEX('Revision Basis'!$D$5:$D$10,MATCH(B58,'Revision Basis'!$A$5:$A$10,0))</f>
        <v>0.28738627187079413</v>
      </c>
      <c r="J58" s="4" t="s">
        <v>11</v>
      </c>
    </row>
    <row r="59" spans="1:10">
      <c r="A59" s="4" t="s">
        <v>20</v>
      </c>
      <c r="B59" s="5">
        <v>2024</v>
      </c>
      <c r="C59" s="6">
        <v>87.42</v>
      </c>
      <c r="D59" s="6">
        <v>102.3</v>
      </c>
      <c r="E59" s="6">
        <v>0.65</v>
      </c>
      <c r="F59" s="6">
        <f t="shared" si="0"/>
        <v>97.091999999999999</v>
      </c>
      <c r="G59" s="6">
        <f>F59/INDEX('Revision Basis'!$B$5:$B$10,MATCH(B59,'Revision Basis'!$A$5:$A$10,0))</f>
        <v>1.8599999999999999</v>
      </c>
      <c r="H59" s="6">
        <f>F59/INDEX('Revision Basis'!$C$5:$C$10,MATCH(B59,'Revision Basis'!$A$5:$A$10,0))</f>
        <v>0.50001029972190747</v>
      </c>
      <c r="I59" s="6">
        <f>F59/INDEX('Revision Basis'!$D$5:$D$10,MATCH(B59,'Revision Basis'!$A$5:$A$10,0))</f>
        <v>0.29556164383561645</v>
      </c>
      <c r="J59" s="4" t="s">
        <v>11</v>
      </c>
    </row>
    <row r="60" spans="1:10">
      <c r="A60" s="4" t="s">
        <v>20</v>
      </c>
      <c r="B60" s="5">
        <v>2025</v>
      </c>
      <c r="C60" s="6">
        <v>81.84</v>
      </c>
      <c r="D60" s="6">
        <v>113.46</v>
      </c>
      <c r="E60" s="6">
        <v>0.65</v>
      </c>
      <c r="F60" s="6">
        <f t="shared" si="0"/>
        <v>102.393</v>
      </c>
      <c r="G60" s="6">
        <f>F60/INDEX('Revision Basis'!$B$5:$B$10,MATCH(B60,'Revision Basis'!$A$5:$A$10,0))</f>
        <v>1.86</v>
      </c>
      <c r="H60" s="6">
        <f>F60/INDEX('Revision Basis'!$C$5:$C$10,MATCH(B60,'Revision Basis'!$A$5:$A$10,0))</f>
        <v>0.49999023389813957</v>
      </c>
      <c r="I60" s="6">
        <f>F60/INDEX('Revision Basis'!$D$5:$D$10,MATCH(B60,'Revision Basis'!$A$5:$A$10,0))</f>
        <v>0.31146159695817488</v>
      </c>
      <c r="J60" s="4" t="s">
        <v>11</v>
      </c>
    </row>
    <row r="61" spans="1:10">
      <c r="A61" s="4" t="s">
        <v>20</v>
      </c>
      <c r="B61" s="5">
        <v>2026</v>
      </c>
      <c r="C61" s="6">
        <v>93</v>
      </c>
      <c r="D61" s="6">
        <v>111.6</v>
      </c>
      <c r="E61" s="6">
        <v>0.65</v>
      </c>
      <c r="F61" s="6">
        <f t="shared" si="0"/>
        <v>105.09</v>
      </c>
      <c r="G61" s="6">
        <f>F61/INDEX('Revision Basis'!$B$5:$B$10,MATCH(B61,'Revision Basis'!$A$5:$A$10,0))</f>
        <v>1.86</v>
      </c>
      <c r="H61" s="6">
        <f>F61/INDEX('Revision Basis'!$C$5:$C$10,MATCH(B61,'Revision Basis'!$A$5:$A$10,0))</f>
        <v>0.5</v>
      </c>
      <c r="I61" s="6">
        <f>F61/INDEX('Revision Basis'!$D$5:$D$10,MATCH(B61,'Revision Basis'!$A$5:$A$10,0))</f>
        <v>0.32285714285714284</v>
      </c>
      <c r="J61" s="4" t="s">
        <v>11</v>
      </c>
    </row>
    <row r="62" spans="1:10">
      <c r="A62" s="4" t="s">
        <v>21</v>
      </c>
      <c r="B62" s="5">
        <v>2021</v>
      </c>
      <c r="C62" s="6">
        <v>107.25</v>
      </c>
      <c r="D62" s="6">
        <v>136.5</v>
      </c>
      <c r="E62" s="6">
        <v>0.65</v>
      </c>
      <c r="F62" s="6">
        <f t="shared" si="0"/>
        <v>126.2625</v>
      </c>
      <c r="G62" s="6">
        <f>F62/INDEX('Revision Basis'!$B$5:$B$10,MATCH(B62,'Revision Basis'!$A$5:$A$10,0))</f>
        <v>1.95</v>
      </c>
      <c r="H62" s="6">
        <f>F62/INDEX('Revision Basis'!$C$5:$C$10,MATCH(B62,'Revision Basis'!$A$5:$A$10,0))</f>
        <v>0.52419354838709675</v>
      </c>
      <c r="I62" s="6">
        <f>F62/INDEX('Revision Basis'!$D$5:$D$10,MATCH(B62,'Revision Basis'!$A$5:$A$10,0))</f>
        <v>0.44773936170212769</v>
      </c>
      <c r="J62" s="4" t="s">
        <v>11</v>
      </c>
    </row>
    <row r="63" spans="1:10">
      <c r="A63" s="4" t="s">
        <v>21</v>
      </c>
      <c r="B63" s="5">
        <v>2022</v>
      </c>
      <c r="C63" s="6">
        <v>105.3</v>
      </c>
      <c r="D63" s="6">
        <v>156</v>
      </c>
      <c r="E63" s="6">
        <v>0.65</v>
      </c>
      <c r="F63" s="6">
        <f t="shared" si="0"/>
        <v>138.255</v>
      </c>
      <c r="G63" s="6">
        <f>F63/INDEX('Revision Basis'!$B$5:$B$10,MATCH(B63,'Revision Basis'!$A$5:$A$10,0))</f>
        <v>1.9499999999999997</v>
      </c>
      <c r="H63" s="6">
        <f>F63/INDEX('Revision Basis'!$C$5:$C$10,MATCH(B63,'Revision Basis'!$A$5:$A$10,0))</f>
        <v>0.52418957345971562</v>
      </c>
      <c r="I63" s="6">
        <f>F63/INDEX('Revision Basis'!$D$5:$D$10,MATCH(B63,'Revision Basis'!$A$5:$A$10,0))</f>
        <v>0.35632731958762887</v>
      </c>
      <c r="J63" s="4" t="s">
        <v>11</v>
      </c>
    </row>
    <row r="64" spans="1:10">
      <c r="A64" s="4" t="s">
        <v>21</v>
      </c>
      <c r="B64" s="5">
        <v>2023</v>
      </c>
      <c r="C64" s="6">
        <v>91.65</v>
      </c>
      <c r="D64" s="6">
        <v>122.85</v>
      </c>
      <c r="E64" s="6">
        <v>0.65</v>
      </c>
      <c r="F64" s="6">
        <f t="shared" si="0"/>
        <v>111.93</v>
      </c>
      <c r="G64" s="6">
        <f>F64/INDEX('Revision Basis'!$B$5:$B$10,MATCH(B64,'Revision Basis'!$A$5:$A$10,0))</f>
        <v>1.9500000000000002</v>
      </c>
      <c r="H64" s="6">
        <f>F64/INDEX('Revision Basis'!$C$5:$C$10,MATCH(B64,'Revision Basis'!$A$5:$A$10,0))</f>
        <v>0.52418863859879172</v>
      </c>
      <c r="I64" s="6">
        <f>F64/INDEX('Revision Basis'!$D$5:$D$10,MATCH(B64,'Revision Basis'!$A$5:$A$10,0))</f>
        <v>0.3012920592193809</v>
      </c>
      <c r="J64" s="4" t="s">
        <v>11</v>
      </c>
    </row>
    <row r="65" spans="1:10">
      <c r="A65" s="4" t="s">
        <v>21</v>
      </c>
      <c r="B65" s="5">
        <v>2024</v>
      </c>
      <c r="C65" s="6">
        <v>91.65</v>
      </c>
      <c r="D65" s="6">
        <v>107.25</v>
      </c>
      <c r="E65" s="6">
        <v>0.65</v>
      </c>
      <c r="F65" s="6">
        <f t="shared" si="0"/>
        <v>101.79</v>
      </c>
      <c r="G65" s="6">
        <f>F65/INDEX('Revision Basis'!$B$5:$B$10,MATCH(B65,'Revision Basis'!$A$5:$A$10,0))</f>
        <v>1.95</v>
      </c>
      <c r="H65" s="6">
        <f>F65/INDEX('Revision Basis'!$C$5:$C$10,MATCH(B65,'Revision Basis'!$A$5:$A$10,0))</f>
        <v>0.52420434648264502</v>
      </c>
      <c r="I65" s="6">
        <f>F65/INDEX('Revision Basis'!$D$5:$D$10,MATCH(B65,'Revision Basis'!$A$5:$A$10,0))</f>
        <v>0.30986301369863017</v>
      </c>
      <c r="J65" s="4" t="s">
        <v>11</v>
      </c>
    </row>
    <row r="66" spans="1:10">
      <c r="A66" s="4" t="s">
        <v>21</v>
      </c>
      <c r="B66" s="5">
        <v>2025</v>
      </c>
      <c r="C66" s="6">
        <v>85.8</v>
      </c>
      <c r="D66" s="6">
        <v>118.95</v>
      </c>
      <c r="E66" s="6">
        <v>0.65</v>
      </c>
      <c r="F66" s="6">
        <f t="shared" ref="F66:F129" si="1">C66+(D66-C66)*E66</f>
        <v>107.3475</v>
      </c>
      <c r="G66" s="6">
        <f>F66/INDEX('Revision Basis'!$B$5:$B$10,MATCH(B66,'Revision Basis'!$A$5:$A$10,0))</f>
        <v>1.95</v>
      </c>
      <c r="H66" s="6">
        <f>F66/INDEX('Revision Basis'!$C$5:$C$10,MATCH(B66,'Revision Basis'!$A$5:$A$10,0))</f>
        <v>0.52418330973192051</v>
      </c>
      <c r="I66" s="6">
        <f>F66/INDEX('Revision Basis'!$D$5:$D$10,MATCH(B66,'Revision Basis'!$A$5:$A$10,0))</f>
        <v>0.32653231939163496</v>
      </c>
      <c r="J66" s="4" t="s">
        <v>11</v>
      </c>
    </row>
    <row r="67" spans="1:10">
      <c r="A67" s="4" t="s">
        <v>21</v>
      </c>
      <c r="B67" s="5">
        <v>2026</v>
      </c>
      <c r="C67" s="6">
        <v>97.5</v>
      </c>
      <c r="D67" s="6">
        <v>117</v>
      </c>
      <c r="E67" s="6">
        <v>0.65</v>
      </c>
      <c r="F67" s="6">
        <f t="shared" si="1"/>
        <v>110.175</v>
      </c>
      <c r="G67" s="6">
        <f>F67/INDEX('Revision Basis'!$B$5:$B$10,MATCH(B67,'Revision Basis'!$A$5:$A$10,0))</f>
        <v>1.95</v>
      </c>
      <c r="H67" s="6">
        <f>F67/INDEX('Revision Basis'!$C$5:$C$10,MATCH(B67,'Revision Basis'!$A$5:$A$10,0))</f>
        <v>0.52419354838709675</v>
      </c>
      <c r="I67" s="6">
        <f>F67/INDEX('Revision Basis'!$D$5:$D$10,MATCH(B67,'Revision Basis'!$A$5:$A$10,0))</f>
        <v>0.33847926267281103</v>
      </c>
      <c r="J67" s="4" t="s">
        <v>11</v>
      </c>
    </row>
    <row r="68" spans="1:10">
      <c r="A68" s="4" t="s">
        <v>22</v>
      </c>
      <c r="B68" s="5">
        <v>2021</v>
      </c>
      <c r="C68" s="6">
        <v>121.55</v>
      </c>
      <c r="D68" s="6">
        <v>154.69999999999999</v>
      </c>
      <c r="E68" s="6">
        <v>0.65</v>
      </c>
      <c r="F68" s="6">
        <f t="shared" si="1"/>
        <v>143.0975</v>
      </c>
      <c r="G68" s="6">
        <f>F68/INDEX('Revision Basis'!$B$5:$B$10,MATCH(B68,'Revision Basis'!$A$5:$A$10,0))</f>
        <v>2.21</v>
      </c>
      <c r="H68" s="6">
        <f>F68/INDEX('Revision Basis'!$C$5:$C$10,MATCH(B68,'Revision Basis'!$A$5:$A$10,0))</f>
        <v>0.59408602150537637</v>
      </c>
      <c r="I68" s="6">
        <f>F68/INDEX('Revision Basis'!$D$5:$D$10,MATCH(B68,'Revision Basis'!$A$5:$A$10,0))</f>
        <v>0.50743794326241132</v>
      </c>
      <c r="J68" s="4" t="s">
        <v>11</v>
      </c>
    </row>
    <row r="69" spans="1:10">
      <c r="A69" s="4" t="s">
        <v>22</v>
      </c>
      <c r="B69" s="5">
        <v>2022</v>
      </c>
      <c r="C69" s="6">
        <v>119.34</v>
      </c>
      <c r="D69" s="6">
        <v>176.8</v>
      </c>
      <c r="E69" s="6">
        <v>0.65</v>
      </c>
      <c r="F69" s="6">
        <f t="shared" si="1"/>
        <v>156.68900000000002</v>
      </c>
      <c r="G69" s="6">
        <f>F69/INDEX('Revision Basis'!$B$5:$B$10,MATCH(B69,'Revision Basis'!$A$5:$A$10,0))</f>
        <v>2.21</v>
      </c>
      <c r="H69" s="6">
        <f>F69/INDEX('Revision Basis'!$C$5:$C$10,MATCH(B69,'Revision Basis'!$A$5:$A$10,0))</f>
        <v>0.59408151658767783</v>
      </c>
      <c r="I69" s="6">
        <f>F69/INDEX('Revision Basis'!$D$5:$D$10,MATCH(B69,'Revision Basis'!$A$5:$A$10,0))</f>
        <v>0.40383762886597946</v>
      </c>
      <c r="J69" s="4" t="s">
        <v>11</v>
      </c>
    </row>
    <row r="70" spans="1:10">
      <c r="A70" s="4" t="s">
        <v>22</v>
      </c>
      <c r="B70" s="5">
        <v>2023</v>
      </c>
      <c r="C70" s="6">
        <v>103.87</v>
      </c>
      <c r="D70" s="6">
        <v>139.22999999999999</v>
      </c>
      <c r="E70" s="6">
        <v>0.65</v>
      </c>
      <c r="F70" s="6">
        <f t="shared" si="1"/>
        <v>126.854</v>
      </c>
      <c r="G70" s="6">
        <f>F70/INDEX('Revision Basis'!$B$5:$B$10,MATCH(B70,'Revision Basis'!$A$5:$A$10,0))</f>
        <v>2.21</v>
      </c>
      <c r="H70" s="6">
        <f>F70/INDEX('Revision Basis'!$C$5:$C$10,MATCH(B70,'Revision Basis'!$A$5:$A$10,0))</f>
        <v>0.59408045707863066</v>
      </c>
      <c r="I70" s="6">
        <f>F70/INDEX('Revision Basis'!$D$5:$D$10,MATCH(B70,'Revision Basis'!$A$5:$A$10,0))</f>
        <v>0.341464333781965</v>
      </c>
      <c r="J70" s="4" t="s">
        <v>11</v>
      </c>
    </row>
    <row r="71" spans="1:10">
      <c r="A71" s="4" t="s">
        <v>22</v>
      </c>
      <c r="B71" s="5">
        <v>2024</v>
      </c>
      <c r="C71" s="6">
        <v>103.87</v>
      </c>
      <c r="D71" s="6">
        <v>121.55</v>
      </c>
      <c r="E71" s="6">
        <v>0.65</v>
      </c>
      <c r="F71" s="6">
        <f t="shared" si="1"/>
        <v>115.36199999999999</v>
      </c>
      <c r="G71" s="6">
        <f>F71/INDEX('Revision Basis'!$B$5:$B$10,MATCH(B71,'Revision Basis'!$A$5:$A$10,0))</f>
        <v>2.21</v>
      </c>
      <c r="H71" s="6">
        <f>F71/INDEX('Revision Basis'!$C$5:$C$10,MATCH(B71,'Revision Basis'!$A$5:$A$10,0))</f>
        <v>0.59409825934699756</v>
      </c>
      <c r="I71" s="6">
        <f>F71/INDEX('Revision Basis'!$D$5:$D$10,MATCH(B71,'Revision Basis'!$A$5:$A$10,0))</f>
        <v>0.35117808219178082</v>
      </c>
      <c r="J71" s="4" t="s">
        <v>11</v>
      </c>
    </row>
    <row r="72" spans="1:10">
      <c r="A72" s="4" t="s">
        <v>22</v>
      </c>
      <c r="B72" s="5">
        <v>2025</v>
      </c>
      <c r="C72" s="6">
        <v>97.24</v>
      </c>
      <c r="D72" s="6">
        <v>134.81</v>
      </c>
      <c r="E72" s="6">
        <v>0.65</v>
      </c>
      <c r="F72" s="6">
        <f t="shared" si="1"/>
        <v>121.6605</v>
      </c>
      <c r="G72" s="6">
        <f>F72/INDEX('Revision Basis'!$B$5:$B$10,MATCH(B72,'Revision Basis'!$A$5:$A$10,0))</f>
        <v>2.21</v>
      </c>
      <c r="H72" s="6">
        <f>F72/INDEX('Revision Basis'!$C$5:$C$10,MATCH(B72,'Revision Basis'!$A$5:$A$10,0))</f>
        <v>0.59407441769617664</v>
      </c>
      <c r="I72" s="6">
        <f>F72/INDEX('Revision Basis'!$D$5:$D$10,MATCH(B72,'Revision Basis'!$A$5:$A$10,0))</f>
        <v>0.37006996197718633</v>
      </c>
      <c r="J72" s="4" t="s">
        <v>11</v>
      </c>
    </row>
    <row r="73" spans="1:10">
      <c r="A73" s="4" t="s">
        <v>22</v>
      </c>
      <c r="B73" s="5">
        <v>2026</v>
      </c>
      <c r="C73" s="6">
        <v>110.5</v>
      </c>
      <c r="D73" s="6">
        <v>132.6</v>
      </c>
      <c r="E73" s="6">
        <v>0.65</v>
      </c>
      <c r="F73" s="6">
        <f t="shared" si="1"/>
        <v>124.86499999999999</v>
      </c>
      <c r="G73" s="6">
        <f>F73/INDEX('Revision Basis'!$B$5:$B$10,MATCH(B73,'Revision Basis'!$A$5:$A$10,0))</f>
        <v>2.21</v>
      </c>
      <c r="H73" s="6">
        <f>F73/INDEX('Revision Basis'!$C$5:$C$10,MATCH(B73,'Revision Basis'!$A$5:$A$10,0))</f>
        <v>0.59408602150537626</v>
      </c>
      <c r="I73" s="6">
        <f>F73/INDEX('Revision Basis'!$D$5:$D$10,MATCH(B73,'Revision Basis'!$A$5:$A$10,0))</f>
        <v>0.38360983102918583</v>
      </c>
      <c r="J73" s="4" t="s">
        <v>11</v>
      </c>
    </row>
    <row r="74" spans="1:10">
      <c r="A74" s="4" t="s">
        <v>23</v>
      </c>
      <c r="B74" s="5">
        <v>2021</v>
      </c>
      <c r="C74" s="6">
        <v>131.44999999999999</v>
      </c>
      <c r="D74" s="6">
        <v>167.3</v>
      </c>
      <c r="E74" s="6">
        <v>0.65</v>
      </c>
      <c r="F74" s="6">
        <f t="shared" si="1"/>
        <v>154.7525</v>
      </c>
      <c r="G74" s="6">
        <f>F74/INDEX('Revision Basis'!$B$5:$B$10,MATCH(B74,'Revision Basis'!$A$5:$A$10,0))</f>
        <v>2.39</v>
      </c>
      <c r="H74" s="6">
        <f>F74/INDEX('Revision Basis'!$C$5:$C$10,MATCH(B74,'Revision Basis'!$A$5:$A$10,0))</f>
        <v>0.64247311827956988</v>
      </c>
      <c r="I74" s="6">
        <f>F74/INDEX('Revision Basis'!$D$5:$D$10,MATCH(B74,'Revision Basis'!$A$5:$A$10,0))</f>
        <v>0.54876773049645389</v>
      </c>
      <c r="J74" s="4" t="s">
        <v>11</v>
      </c>
    </row>
    <row r="75" spans="1:10">
      <c r="A75" s="4" t="s">
        <v>23</v>
      </c>
      <c r="B75" s="5">
        <v>2022</v>
      </c>
      <c r="C75" s="6">
        <v>129.06</v>
      </c>
      <c r="D75" s="6">
        <v>191.2</v>
      </c>
      <c r="E75" s="6">
        <v>0.65</v>
      </c>
      <c r="F75" s="6">
        <f t="shared" si="1"/>
        <v>169.45099999999999</v>
      </c>
      <c r="G75" s="6">
        <f>F75/INDEX('Revision Basis'!$B$5:$B$10,MATCH(B75,'Revision Basis'!$A$5:$A$10,0))</f>
        <v>2.3899999999999997</v>
      </c>
      <c r="H75" s="6">
        <f>F75/INDEX('Revision Basis'!$C$5:$C$10,MATCH(B75,'Revision Basis'!$A$5:$A$10,0))</f>
        <v>0.6424682464454976</v>
      </c>
      <c r="I75" s="6">
        <f>F75/INDEX('Revision Basis'!$D$5:$D$10,MATCH(B75,'Revision Basis'!$A$5:$A$10,0))</f>
        <v>0.43672938144329893</v>
      </c>
      <c r="J75" s="4" t="s">
        <v>11</v>
      </c>
    </row>
    <row r="76" spans="1:10">
      <c r="A76" s="4" t="s">
        <v>23</v>
      </c>
      <c r="B76" s="5">
        <v>2023</v>
      </c>
      <c r="C76" s="6">
        <v>112.33</v>
      </c>
      <c r="D76" s="6">
        <v>150.57</v>
      </c>
      <c r="E76" s="6">
        <v>0.65</v>
      </c>
      <c r="F76" s="6">
        <f t="shared" si="1"/>
        <v>137.18600000000001</v>
      </c>
      <c r="G76" s="6">
        <f>F76/INDEX('Revision Basis'!$B$5:$B$10,MATCH(B76,'Revision Basis'!$A$5:$A$10,0))</f>
        <v>2.39</v>
      </c>
      <c r="H76" s="6">
        <f>F76/INDEX('Revision Basis'!$C$5:$C$10,MATCH(B76,'Revision Basis'!$A$5:$A$10,0))</f>
        <v>0.64246710064159607</v>
      </c>
      <c r="I76" s="6">
        <f>F76/INDEX('Revision Basis'!$D$5:$D$10,MATCH(B76,'Revision Basis'!$A$5:$A$10,0))</f>
        <v>0.36927590847913866</v>
      </c>
      <c r="J76" s="4" t="s">
        <v>11</v>
      </c>
    </row>
    <row r="77" spans="1:10">
      <c r="A77" s="4" t="s">
        <v>23</v>
      </c>
      <c r="B77" s="5">
        <v>2024</v>
      </c>
      <c r="C77" s="6">
        <v>112.33</v>
      </c>
      <c r="D77" s="6">
        <v>131.44999999999999</v>
      </c>
      <c r="E77" s="6">
        <v>0.65</v>
      </c>
      <c r="F77" s="6">
        <f t="shared" si="1"/>
        <v>124.758</v>
      </c>
      <c r="G77" s="6">
        <f>F77/INDEX('Revision Basis'!$B$5:$B$10,MATCH(B77,'Revision Basis'!$A$5:$A$10,0))</f>
        <v>2.3899999999999997</v>
      </c>
      <c r="H77" s="6">
        <f>F77/INDEX('Revision Basis'!$C$5:$C$10,MATCH(B77,'Revision Basis'!$A$5:$A$10,0))</f>
        <v>0.64248635286847255</v>
      </c>
      <c r="I77" s="6">
        <f>F77/INDEX('Revision Basis'!$D$5:$D$10,MATCH(B77,'Revision Basis'!$A$5:$A$10,0))</f>
        <v>0.37978082191780821</v>
      </c>
      <c r="J77" s="4" t="s">
        <v>11</v>
      </c>
    </row>
    <row r="78" spans="1:10">
      <c r="A78" s="4" t="s">
        <v>23</v>
      </c>
      <c r="B78" s="5">
        <v>2025</v>
      </c>
      <c r="C78" s="6">
        <v>105.16</v>
      </c>
      <c r="D78" s="6">
        <v>145.79</v>
      </c>
      <c r="E78" s="6">
        <v>0.65</v>
      </c>
      <c r="F78" s="6">
        <f t="shared" si="1"/>
        <v>131.56950000000001</v>
      </c>
      <c r="G78" s="6">
        <f>F78/INDEX('Revision Basis'!$B$5:$B$10,MATCH(B78,'Revision Basis'!$A$5:$A$10,0))</f>
        <v>2.39</v>
      </c>
      <c r="H78" s="6">
        <f>F78/INDEX('Revision Basis'!$C$5:$C$10,MATCH(B78,'Revision Basis'!$A$5:$A$10,0))</f>
        <v>0.64246056936373852</v>
      </c>
      <c r="I78" s="6">
        <f>F78/INDEX('Revision Basis'!$D$5:$D$10,MATCH(B78,'Revision Basis'!$A$5:$A$10,0))</f>
        <v>0.4002114068441065</v>
      </c>
      <c r="J78" s="4" t="s">
        <v>11</v>
      </c>
    </row>
    <row r="79" spans="1:10">
      <c r="A79" s="4" t="s">
        <v>23</v>
      </c>
      <c r="B79" s="5">
        <v>2026</v>
      </c>
      <c r="C79" s="6">
        <v>119.5</v>
      </c>
      <c r="D79" s="6">
        <v>143.4</v>
      </c>
      <c r="E79" s="6">
        <v>0.65</v>
      </c>
      <c r="F79" s="6">
        <f t="shared" si="1"/>
        <v>135.035</v>
      </c>
      <c r="G79" s="6">
        <f>F79/INDEX('Revision Basis'!$B$5:$B$10,MATCH(B79,'Revision Basis'!$A$5:$A$10,0))</f>
        <v>2.39</v>
      </c>
      <c r="H79" s="6">
        <f>F79/INDEX('Revision Basis'!$C$5:$C$10,MATCH(B79,'Revision Basis'!$A$5:$A$10,0))</f>
        <v>0.64247311827956988</v>
      </c>
      <c r="I79" s="6">
        <f>F79/INDEX('Revision Basis'!$D$5:$D$10,MATCH(B79,'Revision Basis'!$A$5:$A$10,0))</f>
        <v>0.41485407066052227</v>
      </c>
      <c r="J79" s="4" t="s">
        <v>11</v>
      </c>
    </row>
    <row r="80" spans="1:10">
      <c r="A80" s="4" t="s">
        <v>24</v>
      </c>
      <c r="B80" s="5">
        <v>2021</v>
      </c>
      <c r="C80" s="6">
        <v>116.6</v>
      </c>
      <c r="D80" s="6">
        <v>148.4</v>
      </c>
      <c r="E80" s="6">
        <v>0.65</v>
      </c>
      <c r="F80" s="6">
        <f t="shared" si="1"/>
        <v>137.27000000000001</v>
      </c>
      <c r="G80" s="6">
        <f>F80/INDEX('Revision Basis'!$B$5:$B$10,MATCH(B80,'Revision Basis'!$A$5:$A$10,0))</f>
        <v>2.12</v>
      </c>
      <c r="H80" s="6">
        <f>F80/INDEX('Revision Basis'!$C$5:$C$10,MATCH(B80,'Revision Basis'!$A$5:$A$10,0))</f>
        <v>0.56989247311827962</v>
      </c>
      <c r="I80" s="6">
        <f>F80/INDEX('Revision Basis'!$D$5:$D$10,MATCH(B80,'Revision Basis'!$A$5:$A$10,0))</f>
        <v>0.48677304964539009</v>
      </c>
      <c r="J80" s="4" t="s">
        <v>11</v>
      </c>
    </row>
    <row r="81" spans="1:10">
      <c r="A81" s="4" t="s">
        <v>24</v>
      </c>
      <c r="B81" s="5">
        <v>2022</v>
      </c>
      <c r="C81" s="6">
        <v>114.48</v>
      </c>
      <c r="D81" s="6">
        <v>169.6</v>
      </c>
      <c r="E81" s="6">
        <v>0.65</v>
      </c>
      <c r="F81" s="6">
        <f t="shared" si="1"/>
        <v>150.30799999999999</v>
      </c>
      <c r="G81" s="6">
        <f>F81/INDEX('Revision Basis'!$B$5:$B$10,MATCH(B81,'Revision Basis'!$A$5:$A$10,0))</f>
        <v>2.1199999999999997</v>
      </c>
      <c r="H81" s="6">
        <f>F81/INDEX('Revision Basis'!$C$5:$C$10,MATCH(B81,'Revision Basis'!$A$5:$A$10,0))</f>
        <v>0.56988815165876772</v>
      </c>
      <c r="I81" s="6">
        <f>F81/INDEX('Revision Basis'!$D$5:$D$10,MATCH(B81,'Revision Basis'!$A$5:$A$10,0))</f>
        <v>0.38739175257731956</v>
      </c>
      <c r="J81" s="4" t="s">
        <v>11</v>
      </c>
    </row>
    <row r="82" spans="1:10">
      <c r="A82" s="4" t="s">
        <v>24</v>
      </c>
      <c r="B82" s="5">
        <v>2023</v>
      </c>
      <c r="C82" s="6">
        <v>99.64</v>
      </c>
      <c r="D82" s="6">
        <v>133.56</v>
      </c>
      <c r="E82" s="6">
        <v>0.65</v>
      </c>
      <c r="F82" s="6">
        <f t="shared" si="1"/>
        <v>121.688</v>
      </c>
      <c r="G82" s="6">
        <f>F82/INDEX('Revision Basis'!$B$5:$B$10,MATCH(B82,'Revision Basis'!$A$5:$A$10,0))</f>
        <v>2.12</v>
      </c>
      <c r="H82" s="6">
        <f>F82/INDEX('Revision Basis'!$C$5:$C$10,MATCH(B82,'Revision Basis'!$A$5:$A$10,0))</f>
        <v>0.56988713529714796</v>
      </c>
      <c r="I82" s="6">
        <f>F82/INDEX('Revision Basis'!$D$5:$D$10,MATCH(B82,'Revision Basis'!$A$5:$A$10,0))</f>
        <v>0.32755854643337823</v>
      </c>
      <c r="J82" s="4" t="s">
        <v>11</v>
      </c>
    </row>
    <row r="83" spans="1:10">
      <c r="A83" s="4" t="s">
        <v>24</v>
      </c>
      <c r="B83" s="5">
        <v>2024</v>
      </c>
      <c r="C83" s="6">
        <v>99.64</v>
      </c>
      <c r="D83" s="6">
        <v>116.6</v>
      </c>
      <c r="E83" s="6">
        <v>0.65</v>
      </c>
      <c r="F83" s="6">
        <f t="shared" si="1"/>
        <v>110.664</v>
      </c>
      <c r="G83" s="6">
        <f>F83/INDEX('Revision Basis'!$B$5:$B$10,MATCH(B83,'Revision Basis'!$A$5:$A$10,0))</f>
        <v>2.12</v>
      </c>
      <c r="H83" s="6">
        <f>F83/INDEX('Revision Basis'!$C$5:$C$10,MATCH(B83,'Revision Basis'!$A$5:$A$10,0))</f>
        <v>0.56990421258626012</v>
      </c>
      <c r="I83" s="6">
        <f>F83/INDEX('Revision Basis'!$D$5:$D$10,MATCH(B83,'Revision Basis'!$A$5:$A$10,0))</f>
        <v>0.33687671232876715</v>
      </c>
      <c r="J83" s="4" t="s">
        <v>11</v>
      </c>
    </row>
    <row r="84" spans="1:10">
      <c r="A84" s="4" t="s">
        <v>24</v>
      </c>
      <c r="B84" s="5">
        <v>2025</v>
      </c>
      <c r="C84" s="6">
        <v>93.28</v>
      </c>
      <c r="D84" s="6">
        <v>129.32</v>
      </c>
      <c r="E84" s="6">
        <v>0.65</v>
      </c>
      <c r="F84" s="6">
        <f t="shared" si="1"/>
        <v>116.70599999999999</v>
      </c>
      <c r="G84" s="6">
        <f>F84/INDEX('Revision Basis'!$B$5:$B$10,MATCH(B84,'Revision Basis'!$A$5:$A$10,0))</f>
        <v>2.12</v>
      </c>
      <c r="H84" s="6">
        <f>F84/INDEX('Revision Basis'!$C$5:$C$10,MATCH(B84,'Revision Basis'!$A$5:$A$10,0))</f>
        <v>0.56988134186239559</v>
      </c>
      <c r="I84" s="6">
        <f>F84/INDEX('Revision Basis'!$D$5:$D$10,MATCH(B84,'Revision Basis'!$A$5:$A$10,0))</f>
        <v>0.3549992395437262</v>
      </c>
      <c r="J84" s="4" t="s">
        <v>11</v>
      </c>
    </row>
    <row r="85" spans="1:10">
      <c r="A85" s="4" t="s">
        <v>24</v>
      </c>
      <c r="B85" s="5">
        <v>2026</v>
      </c>
      <c r="C85" s="6">
        <v>106</v>
      </c>
      <c r="D85" s="6">
        <v>127.2</v>
      </c>
      <c r="E85" s="6">
        <v>0.65</v>
      </c>
      <c r="F85" s="6">
        <f t="shared" si="1"/>
        <v>119.78</v>
      </c>
      <c r="G85" s="6">
        <f>F85/INDEX('Revision Basis'!$B$5:$B$10,MATCH(B85,'Revision Basis'!$A$5:$A$10,0))</f>
        <v>2.12</v>
      </c>
      <c r="H85" s="6">
        <f>F85/INDEX('Revision Basis'!$C$5:$C$10,MATCH(B85,'Revision Basis'!$A$5:$A$10,0))</f>
        <v>0.56989247311827951</v>
      </c>
      <c r="I85" s="6">
        <f>F85/INDEX('Revision Basis'!$D$5:$D$10,MATCH(B85,'Revision Basis'!$A$5:$A$10,0))</f>
        <v>0.36798771121351764</v>
      </c>
      <c r="J85" s="4" t="s">
        <v>11</v>
      </c>
    </row>
    <row r="86" spans="1:10">
      <c r="A86" s="4" t="s">
        <v>25</v>
      </c>
      <c r="B86" s="5">
        <v>2021</v>
      </c>
      <c r="C86" s="6">
        <v>170.5</v>
      </c>
      <c r="D86" s="6">
        <v>217</v>
      </c>
      <c r="E86" s="6">
        <v>0.65</v>
      </c>
      <c r="F86" s="6">
        <f t="shared" si="1"/>
        <v>200.72499999999999</v>
      </c>
      <c r="G86" s="6">
        <f>F86/INDEX('Revision Basis'!$B$5:$B$10,MATCH(B86,'Revision Basis'!$A$5:$A$10,0))</f>
        <v>3.1</v>
      </c>
      <c r="H86" s="6">
        <f>F86/INDEX('Revision Basis'!$C$5:$C$10,MATCH(B86,'Revision Basis'!$A$5:$A$10,0))</f>
        <v>0.83333333333333326</v>
      </c>
      <c r="I86" s="6">
        <f>F86/INDEX('Revision Basis'!$D$5:$D$10,MATCH(B86,'Revision Basis'!$A$5:$A$10,0))</f>
        <v>0.71179078014184394</v>
      </c>
      <c r="J86" s="4" t="s">
        <v>11</v>
      </c>
    </row>
    <row r="87" spans="1:10">
      <c r="A87" s="4" t="s">
        <v>25</v>
      </c>
      <c r="B87" s="5">
        <v>2022</v>
      </c>
      <c r="C87" s="6">
        <v>167.4</v>
      </c>
      <c r="D87" s="6">
        <v>248</v>
      </c>
      <c r="E87" s="6">
        <v>0.65</v>
      </c>
      <c r="F87" s="6">
        <f t="shared" si="1"/>
        <v>219.79000000000002</v>
      </c>
      <c r="G87" s="6">
        <f>F87/INDEX('Revision Basis'!$B$5:$B$10,MATCH(B87,'Revision Basis'!$A$5:$A$10,0))</f>
        <v>3.1</v>
      </c>
      <c r="H87" s="6">
        <f>F87/INDEX('Revision Basis'!$C$5:$C$10,MATCH(B87,'Revision Basis'!$A$5:$A$10,0))</f>
        <v>0.83332701421800959</v>
      </c>
      <c r="I87" s="6">
        <f>F87/INDEX('Revision Basis'!$D$5:$D$10,MATCH(B87,'Revision Basis'!$A$5:$A$10,0))</f>
        <v>0.56646907216494846</v>
      </c>
      <c r="J87" s="4" t="s">
        <v>11</v>
      </c>
    </row>
    <row r="88" spans="1:10">
      <c r="A88" s="4" t="s">
        <v>25</v>
      </c>
      <c r="B88" s="5">
        <v>2023</v>
      </c>
      <c r="C88" s="6">
        <v>145.69999999999999</v>
      </c>
      <c r="D88" s="6">
        <v>195.3</v>
      </c>
      <c r="E88" s="6">
        <v>0.65</v>
      </c>
      <c r="F88" s="6">
        <f t="shared" si="1"/>
        <v>177.94</v>
      </c>
      <c r="G88" s="6">
        <f>F88/INDEX('Revision Basis'!$B$5:$B$10,MATCH(B88,'Revision Basis'!$A$5:$A$10,0))</f>
        <v>3.1</v>
      </c>
      <c r="H88" s="6">
        <f>F88/INDEX('Revision Basis'!$C$5:$C$10,MATCH(B88,'Revision Basis'!$A$5:$A$10,0))</f>
        <v>0.83332552802884841</v>
      </c>
      <c r="I88" s="6">
        <f>F88/INDEX('Revision Basis'!$D$5:$D$10,MATCH(B88,'Revision Basis'!$A$5:$A$10,0))</f>
        <v>0.47897711978465679</v>
      </c>
      <c r="J88" s="4" t="s">
        <v>11</v>
      </c>
    </row>
    <row r="89" spans="1:10">
      <c r="A89" s="4" t="s">
        <v>25</v>
      </c>
      <c r="B89" s="5">
        <v>2024</v>
      </c>
      <c r="C89" s="6">
        <v>145.69999999999999</v>
      </c>
      <c r="D89" s="6">
        <v>170.5</v>
      </c>
      <c r="E89" s="6">
        <v>0.65</v>
      </c>
      <c r="F89" s="6">
        <f t="shared" si="1"/>
        <v>161.82</v>
      </c>
      <c r="G89" s="6">
        <f>F89/INDEX('Revision Basis'!$B$5:$B$10,MATCH(B89,'Revision Basis'!$A$5:$A$10,0))</f>
        <v>3.0999999999999996</v>
      </c>
      <c r="H89" s="6">
        <f>F89/INDEX('Revision Basis'!$C$5:$C$10,MATCH(B89,'Revision Basis'!$A$5:$A$10,0))</f>
        <v>0.83335049953651241</v>
      </c>
      <c r="I89" s="6">
        <f>F89/INDEX('Revision Basis'!$D$5:$D$10,MATCH(B89,'Revision Basis'!$A$5:$A$10,0))</f>
        <v>0.49260273972602736</v>
      </c>
      <c r="J89" s="4" t="s">
        <v>11</v>
      </c>
    </row>
    <row r="90" spans="1:10">
      <c r="A90" s="4" t="s">
        <v>25</v>
      </c>
      <c r="B90" s="5">
        <v>2025</v>
      </c>
      <c r="C90" s="6">
        <v>136.4</v>
      </c>
      <c r="D90" s="6">
        <v>189.1</v>
      </c>
      <c r="E90" s="6">
        <v>0.65</v>
      </c>
      <c r="F90" s="6">
        <f t="shared" si="1"/>
        <v>170.655</v>
      </c>
      <c r="G90" s="6">
        <f>F90/INDEX('Revision Basis'!$B$5:$B$10,MATCH(B90,'Revision Basis'!$A$5:$A$10,0))</f>
        <v>3.1</v>
      </c>
      <c r="H90" s="6">
        <f>F90/INDEX('Revision Basis'!$C$5:$C$10,MATCH(B90,'Revision Basis'!$A$5:$A$10,0))</f>
        <v>0.83331705649689936</v>
      </c>
      <c r="I90" s="6">
        <f>F90/INDEX('Revision Basis'!$D$5:$D$10,MATCH(B90,'Revision Basis'!$A$5:$A$10,0))</f>
        <v>0.51910266159695817</v>
      </c>
      <c r="J90" s="4" t="s">
        <v>11</v>
      </c>
    </row>
    <row r="91" spans="1:10">
      <c r="A91" s="4" t="s">
        <v>25</v>
      </c>
      <c r="B91" s="5">
        <v>2026</v>
      </c>
      <c r="C91" s="6">
        <v>155</v>
      </c>
      <c r="D91" s="6">
        <v>186</v>
      </c>
      <c r="E91" s="6">
        <v>0.65</v>
      </c>
      <c r="F91" s="6">
        <f t="shared" si="1"/>
        <v>175.15</v>
      </c>
      <c r="G91" s="6">
        <f>F91/INDEX('Revision Basis'!$B$5:$B$10,MATCH(B91,'Revision Basis'!$A$5:$A$10,0))</f>
        <v>3.1</v>
      </c>
      <c r="H91" s="6">
        <f>F91/INDEX('Revision Basis'!$C$5:$C$10,MATCH(B91,'Revision Basis'!$A$5:$A$10,0))</f>
        <v>0.83333333333333337</v>
      </c>
      <c r="I91" s="6">
        <f>F91/INDEX('Revision Basis'!$D$5:$D$10,MATCH(B91,'Revision Basis'!$A$5:$A$10,0))</f>
        <v>0.53809523809523807</v>
      </c>
      <c r="J91" s="4" t="s">
        <v>11</v>
      </c>
    </row>
    <row r="92" spans="1:10">
      <c r="A92" s="4" t="s">
        <v>26</v>
      </c>
      <c r="B92" s="5">
        <v>2021</v>
      </c>
      <c r="C92" s="6">
        <v>175.45</v>
      </c>
      <c r="D92" s="6">
        <v>223.3</v>
      </c>
      <c r="E92" s="6">
        <v>0.65</v>
      </c>
      <c r="F92" s="6">
        <f t="shared" si="1"/>
        <v>206.55250000000001</v>
      </c>
      <c r="G92" s="6">
        <f>F92/INDEX('Revision Basis'!$B$5:$B$10,MATCH(B92,'Revision Basis'!$A$5:$A$10,0))</f>
        <v>3.19</v>
      </c>
      <c r="H92" s="6">
        <f>F92/INDEX('Revision Basis'!$C$5:$C$10,MATCH(B92,'Revision Basis'!$A$5:$A$10,0))</f>
        <v>0.85752688172043012</v>
      </c>
      <c r="I92" s="6">
        <f>F92/INDEX('Revision Basis'!$D$5:$D$10,MATCH(B92,'Revision Basis'!$A$5:$A$10,0))</f>
        <v>0.73245567375886533</v>
      </c>
      <c r="J92" s="4" t="s">
        <v>11</v>
      </c>
    </row>
    <row r="93" spans="1:10">
      <c r="A93" s="4" t="s">
        <v>26</v>
      </c>
      <c r="B93" s="5">
        <v>2022</v>
      </c>
      <c r="C93" s="6">
        <v>172.26</v>
      </c>
      <c r="D93" s="6">
        <v>255.2</v>
      </c>
      <c r="E93" s="6">
        <v>0.65</v>
      </c>
      <c r="F93" s="6">
        <f t="shared" si="1"/>
        <v>226.17099999999999</v>
      </c>
      <c r="G93" s="6">
        <f>F93/INDEX('Revision Basis'!$B$5:$B$10,MATCH(B93,'Revision Basis'!$A$5:$A$10,0))</f>
        <v>3.1899999999999995</v>
      </c>
      <c r="H93" s="6">
        <f>F93/INDEX('Revision Basis'!$C$5:$C$10,MATCH(B93,'Revision Basis'!$A$5:$A$10,0))</f>
        <v>0.85752037914691936</v>
      </c>
      <c r="I93" s="6">
        <f>F93/INDEX('Revision Basis'!$D$5:$D$10,MATCH(B93,'Revision Basis'!$A$5:$A$10,0))</f>
        <v>0.58291494845360825</v>
      </c>
      <c r="J93" s="4" t="s">
        <v>11</v>
      </c>
    </row>
    <row r="94" spans="1:10">
      <c r="A94" s="4" t="s">
        <v>26</v>
      </c>
      <c r="B94" s="5">
        <v>2023</v>
      </c>
      <c r="C94" s="6">
        <v>149.93</v>
      </c>
      <c r="D94" s="6">
        <v>200.97</v>
      </c>
      <c r="E94" s="6">
        <v>0.65</v>
      </c>
      <c r="F94" s="6">
        <f t="shared" si="1"/>
        <v>183.10599999999999</v>
      </c>
      <c r="G94" s="6">
        <f>F94/INDEX('Revision Basis'!$B$5:$B$10,MATCH(B94,'Revision Basis'!$A$5:$A$10,0))</f>
        <v>3.19</v>
      </c>
      <c r="H94" s="6">
        <f>F94/INDEX('Revision Basis'!$C$5:$C$10,MATCH(B94,'Revision Basis'!$A$5:$A$10,0))</f>
        <v>0.85751884981033111</v>
      </c>
      <c r="I94" s="6">
        <f>F94/INDEX('Revision Basis'!$D$5:$D$10,MATCH(B94,'Revision Basis'!$A$5:$A$10,0))</f>
        <v>0.49288290713324362</v>
      </c>
      <c r="J94" s="4" t="s">
        <v>11</v>
      </c>
    </row>
    <row r="95" spans="1:10">
      <c r="A95" s="4" t="s">
        <v>26</v>
      </c>
      <c r="B95" s="5">
        <v>2024</v>
      </c>
      <c r="C95" s="6">
        <v>149.93</v>
      </c>
      <c r="D95" s="6">
        <v>175.45</v>
      </c>
      <c r="E95" s="6">
        <v>0.65</v>
      </c>
      <c r="F95" s="6">
        <f t="shared" si="1"/>
        <v>166.518</v>
      </c>
      <c r="G95" s="6">
        <f>F95/INDEX('Revision Basis'!$B$5:$B$10,MATCH(B95,'Revision Basis'!$A$5:$A$10,0))</f>
        <v>3.19</v>
      </c>
      <c r="H95" s="6">
        <f>F95/INDEX('Revision Basis'!$C$5:$C$10,MATCH(B95,'Revision Basis'!$A$5:$A$10,0))</f>
        <v>0.85754454629724997</v>
      </c>
      <c r="I95" s="6">
        <f>F95/INDEX('Revision Basis'!$D$5:$D$10,MATCH(B95,'Revision Basis'!$A$5:$A$10,0))</f>
        <v>0.50690410958904109</v>
      </c>
      <c r="J95" s="4" t="s">
        <v>11</v>
      </c>
    </row>
    <row r="96" spans="1:10">
      <c r="A96" s="4" t="s">
        <v>26</v>
      </c>
      <c r="B96" s="5">
        <v>2025</v>
      </c>
      <c r="C96" s="6">
        <v>140.36000000000001</v>
      </c>
      <c r="D96" s="6">
        <v>194.59</v>
      </c>
      <c r="E96" s="6">
        <v>0.65</v>
      </c>
      <c r="F96" s="6">
        <f t="shared" si="1"/>
        <v>175.60950000000003</v>
      </c>
      <c r="G96" s="6">
        <f>F96/INDEX('Revision Basis'!$B$5:$B$10,MATCH(B96,'Revision Basis'!$A$5:$A$10,0))</f>
        <v>3.1900000000000008</v>
      </c>
      <c r="H96" s="6">
        <f>F96/INDEX('Revision Basis'!$C$5:$C$10,MATCH(B96,'Revision Basis'!$A$5:$A$10,0))</f>
        <v>0.85751013233068041</v>
      </c>
      <c r="I96" s="6">
        <f>F96/INDEX('Revision Basis'!$D$5:$D$10,MATCH(B96,'Revision Basis'!$A$5:$A$10,0))</f>
        <v>0.53417338403041836</v>
      </c>
      <c r="J96" s="4" t="s">
        <v>11</v>
      </c>
    </row>
    <row r="97" spans="1:10">
      <c r="A97" s="4" t="s">
        <v>26</v>
      </c>
      <c r="B97" s="5">
        <v>2026</v>
      </c>
      <c r="C97" s="6">
        <v>159.5</v>
      </c>
      <c r="D97" s="6">
        <v>191.4</v>
      </c>
      <c r="E97" s="6">
        <v>0.65</v>
      </c>
      <c r="F97" s="6">
        <f t="shared" si="1"/>
        <v>180.23500000000001</v>
      </c>
      <c r="G97" s="6">
        <f>F97/INDEX('Revision Basis'!$B$5:$B$10,MATCH(B97,'Revision Basis'!$A$5:$A$10,0))</f>
        <v>3.1900000000000004</v>
      </c>
      <c r="H97" s="6">
        <f>F97/INDEX('Revision Basis'!$C$5:$C$10,MATCH(B97,'Revision Basis'!$A$5:$A$10,0))</f>
        <v>0.85752688172043012</v>
      </c>
      <c r="I97" s="6">
        <f>F97/INDEX('Revision Basis'!$D$5:$D$10,MATCH(B97,'Revision Basis'!$A$5:$A$10,0))</f>
        <v>0.55371735791090637</v>
      </c>
      <c r="J97" s="4" t="s">
        <v>11</v>
      </c>
    </row>
    <row r="98" spans="1:10">
      <c r="A98" s="4" t="s">
        <v>27</v>
      </c>
      <c r="B98" s="5">
        <v>2021</v>
      </c>
      <c r="C98" s="6">
        <v>170.5</v>
      </c>
      <c r="D98" s="6">
        <v>217</v>
      </c>
      <c r="E98" s="6">
        <v>0.65</v>
      </c>
      <c r="F98" s="6">
        <f t="shared" si="1"/>
        <v>200.72499999999999</v>
      </c>
      <c r="G98" s="6">
        <f>F98/INDEX('Revision Basis'!$B$5:$B$10,MATCH(B98,'Revision Basis'!$A$5:$A$10,0))</f>
        <v>3.1</v>
      </c>
      <c r="H98" s="6">
        <f>F98/INDEX('Revision Basis'!$C$5:$C$10,MATCH(B98,'Revision Basis'!$A$5:$A$10,0))</f>
        <v>0.83333333333333326</v>
      </c>
      <c r="I98" s="6">
        <f>F98/INDEX('Revision Basis'!$D$5:$D$10,MATCH(B98,'Revision Basis'!$A$5:$A$10,0))</f>
        <v>0.71179078014184394</v>
      </c>
      <c r="J98" s="4" t="s">
        <v>11</v>
      </c>
    </row>
    <row r="99" spans="1:10">
      <c r="A99" s="4" t="s">
        <v>27</v>
      </c>
      <c r="B99" s="5">
        <v>2022</v>
      </c>
      <c r="C99" s="6">
        <v>167.4</v>
      </c>
      <c r="D99" s="6">
        <v>248</v>
      </c>
      <c r="E99" s="6">
        <v>0.65</v>
      </c>
      <c r="F99" s="6">
        <f t="shared" si="1"/>
        <v>219.79000000000002</v>
      </c>
      <c r="G99" s="6">
        <f>F99/INDEX('Revision Basis'!$B$5:$B$10,MATCH(B99,'Revision Basis'!$A$5:$A$10,0))</f>
        <v>3.1</v>
      </c>
      <c r="H99" s="6">
        <f>F99/INDEX('Revision Basis'!$C$5:$C$10,MATCH(B99,'Revision Basis'!$A$5:$A$10,0))</f>
        <v>0.83332701421800959</v>
      </c>
      <c r="I99" s="6">
        <f>F99/INDEX('Revision Basis'!$D$5:$D$10,MATCH(B99,'Revision Basis'!$A$5:$A$10,0))</f>
        <v>0.56646907216494846</v>
      </c>
      <c r="J99" s="4" t="s">
        <v>11</v>
      </c>
    </row>
    <row r="100" spans="1:10">
      <c r="A100" s="4" t="s">
        <v>27</v>
      </c>
      <c r="B100" s="5">
        <v>2023</v>
      </c>
      <c r="C100" s="6">
        <v>145.69999999999999</v>
      </c>
      <c r="D100" s="6">
        <v>195.3</v>
      </c>
      <c r="E100" s="6">
        <v>0.65</v>
      </c>
      <c r="F100" s="6">
        <f t="shared" si="1"/>
        <v>177.94</v>
      </c>
      <c r="G100" s="6">
        <f>F100/INDEX('Revision Basis'!$B$5:$B$10,MATCH(B100,'Revision Basis'!$A$5:$A$10,0))</f>
        <v>3.1</v>
      </c>
      <c r="H100" s="6">
        <f>F100/INDEX('Revision Basis'!$C$5:$C$10,MATCH(B100,'Revision Basis'!$A$5:$A$10,0))</f>
        <v>0.83332552802884841</v>
      </c>
      <c r="I100" s="6">
        <f>F100/INDEX('Revision Basis'!$D$5:$D$10,MATCH(B100,'Revision Basis'!$A$5:$A$10,0))</f>
        <v>0.47897711978465679</v>
      </c>
      <c r="J100" s="4" t="s">
        <v>11</v>
      </c>
    </row>
    <row r="101" spans="1:10">
      <c r="A101" s="4" t="s">
        <v>27</v>
      </c>
      <c r="B101" s="5">
        <v>2024</v>
      </c>
      <c r="C101" s="6">
        <v>145.69999999999999</v>
      </c>
      <c r="D101" s="6">
        <v>170.5</v>
      </c>
      <c r="E101" s="6">
        <v>0.65</v>
      </c>
      <c r="F101" s="6">
        <f t="shared" si="1"/>
        <v>161.82</v>
      </c>
      <c r="G101" s="6">
        <f>F101/INDEX('Revision Basis'!$B$5:$B$10,MATCH(B101,'Revision Basis'!$A$5:$A$10,0))</f>
        <v>3.0999999999999996</v>
      </c>
      <c r="H101" s="6">
        <f>F101/INDEX('Revision Basis'!$C$5:$C$10,MATCH(B101,'Revision Basis'!$A$5:$A$10,0))</f>
        <v>0.83335049953651241</v>
      </c>
      <c r="I101" s="6">
        <f>F101/INDEX('Revision Basis'!$D$5:$D$10,MATCH(B101,'Revision Basis'!$A$5:$A$10,0))</f>
        <v>0.49260273972602736</v>
      </c>
      <c r="J101" s="4" t="s">
        <v>11</v>
      </c>
    </row>
    <row r="102" spans="1:10">
      <c r="A102" s="4" t="s">
        <v>27</v>
      </c>
      <c r="B102" s="5">
        <v>2025</v>
      </c>
      <c r="C102" s="6">
        <v>136.4</v>
      </c>
      <c r="D102" s="6">
        <v>189.1</v>
      </c>
      <c r="E102" s="6">
        <v>0.65</v>
      </c>
      <c r="F102" s="6">
        <f t="shared" si="1"/>
        <v>170.655</v>
      </c>
      <c r="G102" s="6">
        <f>F102/INDEX('Revision Basis'!$B$5:$B$10,MATCH(B102,'Revision Basis'!$A$5:$A$10,0))</f>
        <v>3.1</v>
      </c>
      <c r="H102" s="6">
        <f>F102/INDEX('Revision Basis'!$C$5:$C$10,MATCH(B102,'Revision Basis'!$A$5:$A$10,0))</f>
        <v>0.83331705649689936</v>
      </c>
      <c r="I102" s="6">
        <f>F102/INDEX('Revision Basis'!$D$5:$D$10,MATCH(B102,'Revision Basis'!$A$5:$A$10,0))</f>
        <v>0.51910266159695817</v>
      </c>
      <c r="J102" s="4" t="s">
        <v>11</v>
      </c>
    </row>
    <row r="103" spans="1:10">
      <c r="A103" s="4" t="s">
        <v>27</v>
      </c>
      <c r="B103" s="5">
        <v>2026</v>
      </c>
      <c r="C103" s="6">
        <v>155</v>
      </c>
      <c r="D103" s="6">
        <v>186</v>
      </c>
      <c r="E103" s="6">
        <v>0.65</v>
      </c>
      <c r="F103" s="6">
        <f t="shared" si="1"/>
        <v>175.15</v>
      </c>
      <c r="G103" s="6">
        <f>F103/INDEX('Revision Basis'!$B$5:$B$10,MATCH(B103,'Revision Basis'!$A$5:$A$10,0))</f>
        <v>3.1</v>
      </c>
      <c r="H103" s="6">
        <f>F103/INDEX('Revision Basis'!$C$5:$C$10,MATCH(B103,'Revision Basis'!$A$5:$A$10,0))</f>
        <v>0.83333333333333337</v>
      </c>
      <c r="I103" s="6">
        <f>F103/INDEX('Revision Basis'!$D$5:$D$10,MATCH(B103,'Revision Basis'!$A$5:$A$10,0))</f>
        <v>0.53809523809523807</v>
      </c>
      <c r="J103" s="4" t="s">
        <v>11</v>
      </c>
    </row>
    <row r="104" spans="1:10">
      <c r="A104" s="4" t="s">
        <v>28</v>
      </c>
      <c r="B104" s="5">
        <v>2021</v>
      </c>
      <c r="C104" s="6">
        <v>213.95</v>
      </c>
      <c r="D104" s="6">
        <v>272.3</v>
      </c>
      <c r="E104" s="6">
        <v>0.65</v>
      </c>
      <c r="F104" s="6">
        <f t="shared" si="1"/>
        <v>251.8775</v>
      </c>
      <c r="G104" s="6">
        <f>F104/INDEX('Revision Basis'!$B$5:$B$10,MATCH(B104,'Revision Basis'!$A$5:$A$10,0))</f>
        <v>3.89</v>
      </c>
      <c r="H104" s="6">
        <f>F104/INDEX('Revision Basis'!$C$5:$C$10,MATCH(B104,'Revision Basis'!$A$5:$A$10,0))</f>
        <v>1.0456989247311828</v>
      </c>
      <c r="I104" s="6">
        <f>F104/INDEX('Revision Basis'!$D$5:$D$10,MATCH(B104,'Revision Basis'!$A$5:$A$10,0))</f>
        <v>0.89318262411347515</v>
      </c>
      <c r="J104" s="4" t="s">
        <v>11</v>
      </c>
    </row>
    <row r="105" spans="1:10">
      <c r="A105" s="4" t="s">
        <v>28</v>
      </c>
      <c r="B105" s="5">
        <v>2022</v>
      </c>
      <c r="C105" s="6">
        <v>210.06</v>
      </c>
      <c r="D105" s="6">
        <v>311.2</v>
      </c>
      <c r="E105" s="6">
        <v>0.65</v>
      </c>
      <c r="F105" s="6">
        <f t="shared" si="1"/>
        <v>275.80099999999999</v>
      </c>
      <c r="G105" s="6">
        <f>F105/INDEX('Revision Basis'!$B$5:$B$10,MATCH(B105,'Revision Basis'!$A$5:$A$10,0))</f>
        <v>3.8899999999999997</v>
      </c>
      <c r="H105" s="6">
        <f>F105/INDEX('Revision Basis'!$C$5:$C$10,MATCH(B105,'Revision Basis'!$A$5:$A$10,0))</f>
        <v>1.0456909952606634</v>
      </c>
      <c r="I105" s="6">
        <f>F105/INDEX('Revision Basis'!$D$5:$D$10,MATCH(B105,'Revision Basis'!$A$5:$A$10,0))</f>
        <v>0.71082731958762879</v>
      </c>
      <c r="J105" s="4" t="s">
        <v>11</v>
      </c>
    </row>
    <row r="106" spans="1:10">
      <c r="A106" s="4" t="s">
        <v>28</v>
      </c>
      <c r="B106" s="5">
        <v>2023</v>
      </c>
      <c r="C106" s="6">
        <v>182.83</v>
      </c>
      <c r="D106" s="6">
        <v>245.07</v>
      </c>
      <c r="E106" s="6">
        <v>0.65</v>
      </c>
      <c r="F106" s="6">
        <f t="shared" si="1"/>
        <v>223.286</v>
      </c>
      <c r="G106" s="6">
        <f>F106/INDEX('Revision Basis'!$B$5:$B$10,MATCH(B106,'Revision Basis'!$A$5:$A$10,0))</f>
        <v>3.89</v>
      </c>
      <c r="H106" s="6">
        <f>F106/INDEX('Revision Basis'!$C$5:$C$10,MATCH(B106,'Revision Basis'!$A$5:$A$10,0))</f>
        <v>1.0456891303329743</v>
      </c>
      <c r="I106" s="6">
        <f>F106/INDEX('Revision Basis'!$D$5:$D$10,MATCH(B106,'Revision Basis'!$A$5:$A$10,0))</f>
        <v>0.60103903095558542</v>
      </c>
      <c r="J106" s="4" t="s">
        <v>11</v>
      </c>
    </row>
    <row r="107" spans="1:10">
      <c r="A107" s="4" t="s">
        <v>28</v>
      </c>
      <c r="B107" s="5">
        <v>2024</v>
      </c>
      <c r="C107" s="6">
        <v>182.83</v>
      </c>
      <c r="D107" s="6">
        <v>213.95</v>
      </c>
      <c r="E107" s="6">
        <v>0.65</v>
      </c>
      <c r="F107" s="6">
        <f t="shared" si="1"/>
        <v>203.05799999999999</v>
      </c>
      <c r="G107" s="6">
        <f>F107/INDEX('Revision Basis'!$B$5:$B$10,MATCH(B107,'Revision Basis'!$A$5:$A$10,0))</f>
        <v>3.8899999999999997</v>
      </c>
      <c r="H107" s="6">
        <f>F107/INDEX('Revision Basis'!$C$5:$C$10,MATCH(B107,'Revision Basis'!$A$5:$A$10,0))</f>
        <v>1.0457204655474301</v>
      </c>
      <c r="I107" s="6">
        <f>F107/INDEX('Revision Basis'!$D$5:$D$10,MATCH(B107,'Revision Basis'!$A$5:$A$10,0))</f>
        <v>0.61813698630136982</v>
      </c>
      <c r="J107" s="4" t="s">
        <v>11</v>
      </c>
    </row>
    <row r="108" spans="1:10">
      <c r="A108" s="4" t="s">
        <v>28</v>
      </c>
      <c r="B108" s="5">
        <v>2025</v>
      </c>
      <c r="C108" s="6">
        <v>171.16</v>
      </c>
      <c r="D108" s="6">
        <v>237.29</v>
      </c>
      <c r="E108" s="6">
        <v>0.65</v>
      </c>
      <c r="F108" s="6">
        <f t="shared" si="1"/>
        <v>214.14449999999999</v>
      </c>
      <c r="G108" s="6">
        <f>F108/INDEX('Revision Basis'!$B$5:$B$10,MATCH(B108,'Revision Basis'!$A$5:$A$10,0))</f>
        <v>3.89</v>
      </c>
      <c r="H108" s="6">
        <f>F108/INDEX('Revision Basis'!$C$5:$C$10,MATCH(B108,'Revision Basis'!$A$5:$A$10,0))</f>
        <v>1.0456784999267543</v>
      </c>
      <c r="I108" s="6">
        <f>F108/INDEX('Revision Basis'!$D$5:$D$10,MATCH(B108,'Revision Basis'!$A$5:$A$10,0))</f>
        <v>0.65139011406844105</v>
      </c>
      <c r="J108" s="4" t="s">
        <v>11</v>
      </c>
    </row>
    <row r="109" spans="1:10">
      <c r="A109" s="4" t="s">
        <v>28</v>
      </c>
      <c r="B109" s="5">
        <v>2026</v>
      </c>
      <c r="C109" s="6">
        <v>194.5</v>
      </c>
      <c r="D109" s="6">
        <v>233.4</v>
      </c>
      <c r="E109" s="6">
        <v>0.65</v>
      </c>
      <c r="F109" s="6">
        <f t="shared" si="1"/>
        <v>219.785</v>
      </c>
      <c r="G109" s="6">
        <f>F109/INDEX('Revision Basis'!$B$5:$B$10,MATCH(B109,'Revision Basis'!$A$5:$A$10,0))</f>
        <v>3.89</v>
      </c>
      <c r="H109" s="6">
        <f>F109/INDEX('Revision Basis'!$C$5:$C$10,MATCH(B109,'Revision Basis'!$A$5:$A$10,0))</f>
        <v>1.0456989247311828</v>
      </c>
      <c r="I109" s="6">
        <f>F109/INDEX('Revision Basis'!$D$5:$D$10,MATCH(B109,'Revision Basis'!$A$5:$A$10,0))</f>
        <v>0.67522273425499235</v>
      </c>
      <c r="J109" s="4" t="s">
        <v>11</v>
      </c>
    </row>
    <row r="110" spans="1:10">
      <c r="A110" s="4" t="s">
        <v>29</v>
      </c>
      <c r="B110" s="5">
        <v>2021</v>
      </c>
      <c r="C110" s="6">
        <v>292.05</v>
      </c>
      <c r="D110" s="6">
        <v>371.7</v>
      </c>
      <c r="E110" s="6">
        <v>0.65</v>
      </c>
      <c r="F110" s="6">
        <f t="shared" si="1"/>
        <v>343.82249999999999</v>
      </c>
      <c r="G110" s="6">
        <f>F110/INDEX('Revision Basis'!$B$5:$B$10,MATCH(B110,'Revision Basis'!$A$5:$A$10,0))</f>
        <v>5.31</v>
      </c>
      <c r="H110" s="6">
        <f>F110/INDEX('Revision Basis'!$C$5:$C$10,MATCH(B110,'Revision Basis'!$A$5:$A$10,0))</f>
        <v>1.4274193548387095</v>
      </c>
      <c r="I110" s="6">
        <f>F110/INDEX('Revision Basis'!$D$5:$D$10,MATCH(B110,'Revision Basis'!$A$5:$A$10,0))</f>
        <v>1.2192287234042554</v>
      </c>
      <c r="J110" s="4" t="s">
        <v>11</v>
      </c>
    </row>
    <row r="111" spans="1:10">
      <c r="A111" s="4" t="s">
        <v>29</v>
      </c>
      <c r="B111" s="5">
        <v>2022</v>
      </c>
      <c r="C111" s="6">
        <v>286.74</v>
      </c>
      <c r="D111" s="6">
        <v>424.8</v>
      </c>
      <c r="E111" s="6">
        <v>0.65</v>
      </c>
      <c r="F111" s="6">
        <f t="shared" si="1"/>
        <v>376.47900000000004</v>
      </c>
      <c r="G111" s="6">
        <f>F111/INDEX('Revision Basis'!$B$5:$B$10,MATCH(B111,'Revision Basis'!$A$5:$A$10,0))</f>
        <v>5.3100000000000005</v>
      </c>
      <c r="H111" s="6">
        <f>F111/INDEX('Revision Basis'!$C$5:$C$10,MATCH(B111,'Revision Basis'!$A$5:$A$10,0))</f>
        <v>1.4274085308056874</v>
      </c>
      <c r="I111" s="6">
        <f>F111/INDEX('Revision Basis'!$D$5:$D$10,MATCH(B111,'Revision Basis'!$A$5:$A$10,0))</f>
        <v>0.97030670103092798</v>
      </c>
      <c r="J111" s="4" t="s">
        <v>11</v>
      </c>
    </row>
    <row r="112" spans="1:10">
      <c r="A112" s="4" t="s">
        <v>29</v>
      </c>
      <c r="B112" s="5">
        <v>2023</v>
      </c>
      <c r="C112" s="6">
        <v>249.57</v>
      </c>
      <c r="D112" s="6">
        <v>334.53</v>
      </c>
      <c r="E112" s="6">
        <v>0.65</v>
      </c>
      <c r="F112" s="6">
        <f t="shared" si="1"/>
        <v>304.79399999999998</v>
      </c>
      <c r="G112" s="6">
        <f>F112/INDEX('Revision Basis'!$B$5:$B$10,MATCH(B112,'Revision Basis'!$A$5:$A$10,0))</f>
        <v>5.31</v>
      </c>
      <c r="H112" s="6">
        <f>F112/INDEX('Revision Basis'!$C$5:$C$10,MATCH(B112,'Revision Basis'!$A$5:$A$10,0))</f>
        <v>1.427405985107479</v>
      </c>
      <c r="I112" s="6">
        <f>F112/INDEX('Revision Basis'!$D$5:$D$10,MATCH(B112,'Revision Basis'!$A$5:$A$10,0))</f>
        <v>0.82044145356662179</v>
      </c>
      <c r="J112" s="4" t="s">
        <v>11</v>
      </c>
    </row>
    <row r="113" spans="1:10">
      <c r="A113" s="4" t="s">
        <v>29</v>
      </c>
      <c r="B113" s="5">
        <v>2024</v>
      </c>
      <c r="C113" s="6">
        <v>249.57</v>
      </c>
      <c r="D113" s="6">
        <v>292.05</v>
      </c>
      <c r="E113" s="6">
        <v>0.65</v>
      </c>
      <c r="F113" s="6">
        <f t="shared" si="1"/>
        <v>277.18200000000002</v>
      </c>
      <c r="G113" s="6">
        <f>F113/INDEX('Revision Basis'!$B$5:$B$10,MATCH(B113,'Revision Basis'!$A$5:$A$10,0))</f>
        <v>5.31</v>
      </c>
      <c r="H113" s="6">
        <f>F113/INDEX('Revision Basis'!$C$5:$C$10,MATCH(B113,'Revision Basis'!$A$5:$A$10,0))</f>
        <v>1.4274487588835101</v>
      </c>
      <c r="I113" s="6">
        <f>F113/INDEX('Revision Basis'!$D$5:$D$10,MATCH(B113,'Revision Basis'!$A$5:$A$10,0))</f>
        <v>0.84378082191780823</v>
      </c>
      <c r="J113" s="4" t="s">
        <v>11</v>
      </c>
    </row>
    <row r="114" spans="1:10">
      <c r="A114" s="4" t="s">
        <v>29</v>
      </c>
      <c r="B114" s="5">
        <v>2025</v>
      </c>
      <c r="C114" s="6">
        <v>233.64</v>
      </c>
      <c r="D114" s="6">
        <v>323.91000000000003</v>
      </c>
      <c r="E114" s="6">
        <v>0.65</v>
      </c>
      <c r="F114" s="6">
        <f t="shared" si="1"/>
        <v>292.31550000000004</v>
      </c>
      <c r="G114" s="6">
        <f>F114/INDEX('Revision Basis'!$B$5:$B$10,MATCH(B114,'Revision Basis'!$A$5:$A$10,0))</f>
        <v>5.3100000000000014</v>
      </c>
      <c r="H114" s="6">
        <f>F114/INDEX('Revision Basis'!$C$5:$C$10,MATCH(B114,'Revision Basis'!$A$5:$A$10,0))</f>
        <v>1.427391474193076</v>
      </c>
      <c r="I114" s="6">
        <f>F114/INDEX('Revision Basis'!$D$5:$D$10,MATCH(B114,'Revision Basis'!$A$5:$A$10,0))</f>
        <v>0.88917262357414462</v>
      </c>
      <c r="J114" s="4" t="s">
        <v>11</v>
      </c>
    </row>
    <row r="115" spans="1:10">
      <c r="A115" s="4" t="s">
        <v>29</v>
      </c>
      <c r="B115" s="5">
        <v>2026</v>
      </c>
      <c r="C115" s="6">
        <v>265.5</v>
      </c>
      <c r="D115" s="6">
        <v>318.60000000000002</v>
      </c>
      <c r="E115" s="6">
        <v>0.65</v>
      </c>
      <c r="F115" s="6">
        <f t="shared" si="1"/>
        <v>300.01499999999999</v>
      </c>
      <c r="G115" s="6">
        <f>F115/INDEX('Revision Basis'!$B$5:$B$10,MATCH(B115,'Revision Basis'!$A$5:$A$10,0))</f>
        <v>5.31</v>
      </c>
      <c r="H115" s="6">
        <f>F115/INDEX('Revision Basis'!$C$5:$C$10,MATCH(B115,'Revision Basis'!$A$5:$A$10,0))</f>
        <v>1.4274193548387095</v>
      </c>
      <c r="I115" s="6">
        <f>F115/INDEX('Revision Basis'!$D$5:$D$10,MATCH(B115,'Revision Basis'!$A$5:$A$10,0))</f>
        <v>0.92170506912442396</v>
      </c>
      <c r="J115" s="4" t="s">
        <v>11</v>
      </c>
    </row>
    <row r="116" spans="1:10">
      <c r="A116" s="4" t="s">
        <v>30</v>
      </c>
      <c r="B116" s="5">
        <v>2021</v>
      </c>
      <c r="C116" s="6">
        <v>204.6</v>
      </c>
      <c r="D116" s="6">
        <v>260.39999999999998</v>
      </c>
      <c r="E116" s="6">
        <v>0.65</v>
      </c>
      <c r="F116" s="6">
        <f t="shared" si="1"/>
        <v>240.86999999999998</v>
      </c>
      <c r="G116" s="6">
        <f>F116/INDEX('Revision Basis'!$B$5:$B$10,MATCH(B116,'Revision Basis'!$A$5:$A$10,0))</f>
        <v>3.7199999999999998</v>
      </c>
      <c r="H116" s="6">
        <f>F116/INDEX('Revision Basis'!$C$5:$C$10,MATCH(B116,'Revision Basis'!$A$5:$A$10,0))</f>
        <v>0.99999999999999989</v>
      </c>
      <c r="I116" s="6">
        <f>F116/INDEX('Revision Basis'!$D$5:$D$10,MATCH(B116,'Revision Basis'!$A$5:$A$10,0))</f>
        <v>0.8541489361702127</v>
      </c>
      <c r="J116" s="4" t="s">
        <v>11</v>
      </c>
    </row>
    <row r="117" spans="1:10">
      <c r="A117" s="4" t="s">
        <v>30</v>
      </c>
      <c r="B117" s="5">
        <v>2022</v>
      </c>
      <c r="C117" s="6">
        <v>200.88</v>
      </c>
      <c r="D117" s="6">
        <v>297.60000000000002</v>
      </c>
      <c r="E117" s="6">
        <v>0.65</v>
      </c>
      <c r="F117" s="6">
        <f t="shared" si="1"/>
        <v>263.74800000000005</v>
      </c>
      <c r="G117" s="6">
        <f>F117/INDEX('Revision Basis'!$B$5:$B$10,MATCH(B117,'Revision Basis'!$A$5:$A$10,0))</f>
        <v>3.72</v>
      </c>
      <c r="H117" s="6">
        <f>F117/INDEX('Revision Basis'!$C$5:$C$10,MATCH(B117,'Revision Basis'!$A$5:$A$10,0))</f>
        <v>0.99999241706161157</v>
      </c>
      <c r="I117" s="6">
        <f>F117/INDEX('Revision Basis'!$D$5:$D$10,MATCH(B117,'Revision Basis'!$A$5:$A$10,0))</f>
        <v>0.67976288659793827</v>
      </c>
      <c r="J117" s="4" t="s">
        <v>11</v>
      </c>
    </row>
    <row r="118" spans="1:10">
      <c r="A118" s="4" t="s">
        <v>30</v>
      </c>
      <c r="B118" s="5">
        <v>2023</v>
      </c>
      <c r="C118" s="6">
        <v>174.84</v>
      </c>
      <c r="D118" s="6">
        <v>234.36</v>
      </c>
      <c r="E118" s="6">
        <v>0.65</v>
      </c>
      <c r="F118" s="6">
        <f t="shared" si="1"/>
        <v>213.52800000000002</v>
      </c>
      <c r="G118" s="6">
        <f>F118/INDEX('Revision Basis'!$B$5:$B$10,MATCH(B118,'Revision Basis'!$A$5:$A$10,0))</f>
        <v>3.7200000000000006</v>
      </c>
      <c r="H118" s="6">
        <f>F118/INDEX('Revision Basis'!$C$5:$C$10,MATCH(B118,'Revision Basis'!$A$5:$A$10,0))</f>
        <v>0.99999063363461815</v>
      </c>
      <c r="I118" s="6">
        <f>F118/INDEX('Revision Basis'!$D$5:$D$10,MATCH(B118,'Revision Basis'!$A$5:$A$10,0))</f>
        <v>0.57477254374158826</v>
      </c>
      <c r="J118" s="4" t="s">
        <v>11</v>
      </c>
    </row>
    <row r="119" spans="1:10">
      <c r="A119" s="4" t="s">
        <v>30</v>
      </c>
      <c r="B119" s="5">
        <v>2024</v>
      </c>
      <c r="C119" s="6">
        <v>174.84</v>
      </c>
      <c r="D119" s="6">
        <v>204.6</v>
      </c>
      <c r="E119" s="6">
        <v>0.65</v>
      </c>
      <c r="F119" s="6">
        <f t="shared" si="1"/>
        <v>194.184</v>
      </c>
      <c r="G119" s="6">
        <f>F119/INDEX('Revision Basis'!$B$5:$B$10,MATCH(B119,'Revision Basis'!$A$5:$A$10,0))</f>
        <v>3.7199999999999998</v>
      </c>
      <c r="H119" s="6">
        <f>F119/INDEX('Revision Basis'!$C$5:$C$10,MATCH(B119,'Revision Basis'!$A$5:$A$10,0))</f>
        <v>1.0000205994438149</v>
      </c>
      <c r="I119" s="6">
        <f>F119/INDEX('Revision Basis'!$D$5:$D$10,MATCH(B119,'Revision Basis'!$A$5:$A$10,0))</f>
        <v>0.5911232876712329</v>
      </c>
      <c r="J119" s="4" t="s">
        <v>11</v>
      </c>
    </row>
    <row r="120" spans="1:10">
      <c r="A120" s="4" t="s">
        <v>30</v>
      </c>
      <c r="B120" s="5">
        <v>2025</v>
      </c>
      <c r="C120" s="6">
        <v>163.68</v>
      </c>
      <c r="D120" s="6">
        <v>226.92</v>
      </c>
      <c r="E120" s="6">
        <v>0.65</v>
      </c>
      <c r="F120" s="6">
        <f t="shared" si="1"/>
        <v>204.786</v>
      </c>
      <c r="G120" s="6">
        <f>F120/INDEX('Revision Basis'!$B$5:$B$10,MATCH(B120,'Revision Basis'!$A$5:$A$10,0))</f>
        <v>3.72</v>
      </c>
      <c r="H120" s="6">
        <f>F120/INDEX('Revision Basis'!$C$5:$C$10,MATCH(B120,'Revision Basis'!$A$5:$A$10,0))</f>
        <v>0.99998046779627914</v>
      </c>
      <c r="I120" s="6">
        <f>F120/INDEX('Revision Basis'!$D$5:$D$10,MATCH(B120,'Revision Basis'!$A$5:$A$10,0))</f>
        <v>0.62292319391634976</v>
      </c>
      <c r="J120" s="4" t="s">
        <v>11</v>
      </c>
    </row>
    <row r="121" spans="1:10">
      <c r="A121" s="4" t="s">
        <v>30</v>
      </c>
      <c r="B121" s="5">
        <v>2026</v>
      </c>
      <c r="C121" s="6">
        <v>186</v>
      </c>
      <c r="D121" s="6">
        <v>223.2</v>
      </c>
      <c r="E121" s="6">
        <v>0.65</v>
      </c>
      <c r="F121" s="6">
        <f t="shared" si="1"/>
        <v>210.18</v>
      </c>
      <c r="G121" s="6">
        <f>F121/INDEX('Revision Basis'!$B$5:$B$10,MATCH(B121,'Revision Basis'!$A$5:$A$10,0))</f>
        <v>3.72</v>
      </c>
      <c r="H121" s="6">
        <f>F121/INDEX('Revision Basis'!$C$5:$C$10,MATCH(B121,'Revision Basis'!$A$5:$A$10,0))</f>
        <v>1</v>
      </c>
      <c r="I121" s="6">
        <f>F121/INDEX('Revision Basis'!$D$5:$D$10,MATCH(B121,'Revision Basis'!$A$5:$A$10,0))</f>
        <v>0.64571428571428569</v>
      </c>
      <c r="J121" s="4" t="s">
        <v>11</v>
      </c>
    </row>
    <row r="122" spans="1:10" ht="28">
      <c r="A122" s="4" t="s">
        <v>31</v>
      </c>
      <c r="B122" s="5">
        <v>2021</v>
      </c>
      <c r="C122" s="6">
        <v>230</v>
      </c>
      <c r="D122" s="6">
        <v>310</v>
      </c>
      <c r="E122" s="6">
        <v>0.65</v>
      </c>
      <c r="F122" s="6">
        <f t="shared" si="1"/>
        <v>282</v>
      </c>
      <c r="G122" s="6">
        <f>F122/INDEX('Revision Basis'!$B$5:$B$10,MATCH(B122,'Revision Basis'!$A$5:$A$10,0))</f>
        <v>4.3552123552123554</v>
      </c>
      <c r="H122" s="6">
        <f>F122/INDEX('Revision Basis'!$C$5:$C$10,MATCH(B122,'Revision Basis'!$A$5:$A$10,0))</f>
        <v>1.1707560094656868</v>
      </c>
      <c r="I122" s="6">
        <f>F122/INDEX('Revision Basis'!$D$5:$D$10,MATCH(B122,'Revision Basis'!$A$5:$A$10,0))</f>
        <v>1</v>
      </c>
      <c r="J122" s="4" t="s">
        <v>32</v>
      </c>
    </row>
    <row r="123" spans="1:10" ht="28">
      <c r="A123" s="4" t="s">
        <v>31</v>
      </c>
      <c r="B123" s="5">
        <v>2022</v>
      </c>
      <c r="C123" s="6">
        <v>310</v>
      </c>
      <c r="D123" s="6">
        <v>430</v>
      </c>
      <c r="E123" s="6">
        <v>0.65</v>
      </c>
      <c r="F123" s="6">
        <f t="shared" si="1"/>
        <v>388</v>
      </c>
      <c r="G123" s="6">
        <f>F123/INDEX('Revision Basis'!$B$5:$B$10,MATCH(B123,'Revision Basis'!$A$5:$A$10,0))</f>
        <v>5.4724964739069106</v>
      </c>
      <c r="H123" s="6">
        <f>F123/INDEX('Revision Basis'!$C$5:$C$10,MATCH(B123,'Revision Basis'!$A$5:$A$10,0))</f>
        <v>1.471090047393365</v>
      </c>
      <c r="I123" s="6">
        <f>F123/INDEX('Revision Basis'!$D$5:$D$10,MATCH(B123,'Revision Basis'!$A$5:$A$10,0))</f>
        <v>1</v>
      </c>
      <c r="J123" s="4" t="s">
        <v>32</v>
      </c>
    </row>
    <row r="124" spans="1:10" ht="28">
      <c r="A124" s="4" t="s">
        <v>31</v>
      </c>
      <c r="B124" s="5">
        <v>2023</v>
      </c>
      <c r="C124" s="6">
        <v>300</v>
      </c>
      <c r="D124" s="6">
        <v>410</v>
      </c>
      <c r="E124" s="6">
        <v>0.65</v>
      </c>
      <c r="F124" s="6">
        <f t="shared" si="1"/>
        <v>371.5</v>
      </c>
      <c r="G124" s="6">
        <f>F124/INDEX('Revision Basis'!$B$5:$B$10,MATCH(B124,'Revision Basis'!$A$5:$A$10,0))</f>
        <v>6.4721254355400699</v>
      </c>
      <c r="H124" s="6">
        <f>F124/INDEX('Revision Basis'!$C$5:$C$10,MATCH(B124,'Revision Basis'!$A$5:$A$10,0))</f>
        <v>1.7398023696904417</v>
      </c>
      <c r="I124" s="6">
        <f>F124/INDEX('Revision Basis'!$D$5:$D$10,MATCH(B124,'Revision Basis'!$A$5:$A$10,0))</f>
        <v>1</v>
      </c>
      <c r="J124" s="4" t="s">
        <v>32</v>
      </c>
    </row>
    <row r="125" spans="1:10" ht="28">
      <c r="A125" s="4" t="s">
        <v>31</v>
      </c>
      <c r="B125" s="5">
        <v>2024</v>
      </c>
      <c r="C125" s="6">
        <v>270</v>
      </c>
      <c r="D125" s="6">
        <v>360</v>
      </c>
      <c r="E125" s="6">
        <v>0.65</v>
      </c>
      <c r="F125" s="6">
        <f t="shared" si="1"/>
        <v>328.5</v>
      </c>
      <c r="G125" s="6">
        <f>F125/INDEX('Revision Basis'!$B$5:$B$10,MATCH(B125,'Revision Basis'!$A$5:$A$10,0))</f>
        <v>6.2931034482758621</v>
      </c>
      <c r="H125" s="6">
        <f>F125/INDEX('Revision Basis'!$C$5:$C$10,MATCH(B125,'Revision Basis'!$A$5:$A$10,0))</f>
        <v>1.6917293233082706</v>
      </c>
      <c r="I125" s="6">
        <f>F125/INDEX('Revision Basis'!$D$5:$D$10,MATCH(B125,'Revision Basis'!$A$5:$A$10,0))</f>
        <v>1</v>
      </c>
      <c r="J125" s="4" t="s">
        <v>32</v>
      </c>
    </row>
    <row r="126" spans="1:10" ht="28">
      <c r="A126" s="4" t="s">
        <v>31</v>
      </c>
      <c r="B126" s="5">
        <v>2025</v>
      </c>
      <c r="C126" s="6">
        <v>280</v>
      </c>
      <c r="D126" s="6">
        <v>355</v>
      </c>
      <c r="E126" s="6">
        <v>0.65</v>
      </c>
      <c r="F126" s="6">
        <f t="shared" si="1"/>
        <v>328.75</v>
      </c>
      <c r="G126" s="6">
        <f>F126/INDEX('Revision Basis'!$B$5:$B$10,MATCH(B126,'Revision Basis'!$A$5:$A$10,0))</f>
        <v>5.9718437783832883</v>
      </c>
      <c r="H126" s="6">
        <f>F126/INDEX('Revision Basis'!$C$5:$C$10,MATCH(B126,'Revision Basis'!$A$5:$A$10,0))</f>
        <v>1.6053029933102203</v>
      </c>
      <c r="I126" s="6">
        <f>F126/INDEX('Revision Basis'!$D$5:$D$10,MATCH(B126,'Revision Basis'!$A$5:$A$10,0))</f>
        <v>1</v>
      </c>
      <c r="J126" s="4" t="s">
        <v>32</v>
      </c>
    </row>
    <row r="127" spans="1:10" ht="28">
      <c r="A127" s="4" t="s">
        <v>31</v>
      </c>
      <c r="B127" s="5">
        <v>2026</v>
      </c>
      <c r="C127" s="6">
        <v>280</v>
      </c>
      <c r="D127" s="6">
        <v>350</v>
      </c>
      <c r="E127" s="6">
        <v>0.65</v>
      </c>
      <c r="F127" s="6">
        <f t="shared" si="1"/>
        <v>325.5</v>
      </c>
      <c r="G127" s="6">
        <f>F127/INDEX('Revision Basis'!$B$5:$B$10,MATCH(B127,'Revision Basis'!$A$5:$A$10,0))</f>
        <v>5.7610619469026547</v>
      </c>
      <c r="H127" s="6">
        <f>F127/INDEX('Revision Basis'!$C$5:$C$10,MATCH(B127,'Revision Basis'!$A$5:$A$10,0))</f>
        <v>1.5486725663716814</v>
      </c>
      <c r="I127" s="6">
        <f>F127/INDEX('Revision Basis'!$D$5:$D$10,MATCH(B127,'Revision Basis'!$A$5:$A$10,0))</f>
        <v>1</v>
      </c>
      <c r="J127" s="4" t="s">
        <v>32</v>
      </c>
    </row>
    <row r="128" spans="1:10">
      <c r="A128" s="4" t="s">
        <v>33</v>
      </c>
      <c r="B128" s="5">
        <v>2021</v>
      </c>
      <c r="C128" s="6">
        <v>230</v>
      </c>
      <c r="D128" s="6">
        <v>310</v>
      </c>
      <c r="E128" s="6">
        <v>0.65</v>
      </c>
      <c r="F128" s="6">
        <f t="shared" si="1"/>
        <v>282</v>
      </c>
      <c r="G128" s="6">
        <f>F128/INDEX('Revision Basis'!$B$5:$B$10,MATCH(B128,'Revision Basis'!$A$5:$A$10,0))</f>
        <v>4.3552123552123554</v>
      </c>
      <c r="H128" s="6">
        <f>F128/INDEX('Revision Basis'!$C$5:$C$10,MATCH(B128,'Revision Basis'!$A$5:$A$10,0))</f>
        <v>1.1707560094656868</v>
      </c>
      <c r="I128" s="6">
        <f>F128/INDEX('Revision Basis'!$D$5:$D$10,MATCH(B128,'Revision Basis'!$A$5:$A$10,0))</f>
        <v>1</v>
      </c>
      <c r="J128" s="4" t="s">
        <v>11</v>
      </c>
    </row>
    <row r="129" spans="1:10">
      <c r="A129" s="4" t="s">
        <v>33</v>
      </c>
      <c r="B129" s="5">
        <v>2022</v>
      </c>
      <c r="C129" s="6">
        <v>310</v>
      </c>
      <c r="D129" s="6">
        <v>430</v>
      </c>
      <c r="E129" s="6">
        <v>0.65</v>
      </c>
      <c r="F129" s="6">
        <f t="shared" si="1"/>
        <v>388</v>
      </c>
      <c r="G129" s="6">
        <f>F129/INDEX('Revision Basis'!$B$5:$B$10,MATCH(B129,'Revision Basis'!$A$5:$A$10,0))</f>
        <v>5.4724964739069106</v>
      </c>
      <c r="H129" s="6">
        <f>F129/INDEX('Revision Basis'!$C$5:$C$10,MATCH(B129,'Revision Basis'!$A$5:$A$10,0))</f>
        <v>1.471090047393365</v>
      </c>
      <c r="I129" s="6">
        <f>F129/INDEX('Revision Basis'!$D$5:$D$10,MATCH(B129,'Revision Basis'!$A$5:$A$10,0))</f>
        <v>1</v>
      </c>
      <c r="J129" s="4" t="s">
        <v>11</v>
      </c>
    </row>
    <row r="130" spans="1:10">
      <c r="A130" s="4" t="s">
        <v>33</v>
      </c>
      <c r="B130" s="5">
        <v>2023</v>
      </c>
      <c r="C130" s="6">
        <v>300</v>
      </c>
      <c r="D130" s="6">
        <v>410</v>
      </c>
      <c r="E130" s="6">
        <v>0.65</v>
      </c>
      <c r="F130" s="6">
        <f t="shared" ref="F130:F193" si="2">C130+(D130-C130)*E130</f>
        <v>371.5</v>
      </c>
      <c r="G130" s="6">
        <f>F130/INDEX('Revision Basis'!$B$5:$B$10,MATCH(B130,'Revision Basis'!$A$5:$A$10,0))</f>
        <v>6.4721254355400699</v>
      </c>
      <c r="H130" s="6">
        <f>F130/INDEX('Revision Basis'!$C$5:$C$10,MATCH(B130,'Revision Basis'!$A$5:$A$10,0))</f>
        <v>1.7398023696904417</v>
      </c>
      <c r="I130" s="6">
        <f>F130/INDEX('Revision Basis'!$D$5:$D$10,MATCH(B130,'Revision Basis'!$A$5:$A$10,0))</f>
        <v>1</v>
      </c>
      <c r="J130" s="4" t="s">
        <v>11</v>
      </c>
    </row>
    <row r="131" spans="1:10">
      <c r="A131" s="4" t="s">
        <v>33</v>
      </c>
      <c r="B131" s="5">
        <v>2024</v>
      </c>
      <c r="C131" s="6">
        <v>270</v>
      </c>
      <c r="D131" s="6">
        <v>360</v>
      </c>
      <c r="E131" s="6">
        <v>0.65</v>
      </c>
      <c r="F131" s="6">
        <f t="shared" si="2"/>
        <v>328.5</v>
      </c>
      <c r="G131" s="6">
        <f>F131/INDEX('Revision Basis'!$B$5:$B$10,MATCH(B131,'Revision Basis'!$A$5:$A$10,0))</f>
        <v>6.2931034482758621</v>
      </c>
      <c r="H131" s="6">
        <f>F131/INDEX('Revision Basis'!$C$5:$C$10,MATCH(B131,'Revision Basis'!$A$5:$A$10,0))</f>
        <v>1.6917293233082706</v>
      </c>
      <c r="I131" s="6">
        <f>F131/INDEX('Revision Basis'!$D$5:$D$10,MATCH(B131,'Revision Basis'!$A$5:$A$10,0))</f>
        <v>1</v>
      </c>
      <c r="J131" s="4" t="s">
        <v>11</v>
      </c>
    </row>
    <row r="132" spans="1:10">
      <c r="A132" s="4" t="s">
        <v>33</v>
      </c>
      <c r="B132" s="5">
        <v>2025</v>
      </c>
      <c r="C132" s="6">
        <v>280</v>
      </c>
      <c r="D132" s="6">
        <v>355</v>
      </c>
      <c r="E132" s="6">
        <v>0.65</v>
      </c>
      <c r="F132" s="6">
        <f t="shared" si="2"/>
        <v>328.75</v>
      </c>
      <c r="G132" s="6">
        <f>F132/INDEX('Revision Basis'!$B$5:$B$10,MATCH(B132,'Revision Basis'!$A$5:$A$10,0))</f>
        <v>5.9718437783832883</v>
      </c>
      <c r="H132" s="6">
        <f>F132/INDEX('Revision Basis'!$C$5:$C$10,MATCH(B132,'Revision Basis'!$A$5:$A$10,0))</f>
        <v>1.6053029933102203</v>
      </c>
      <c r="I132" s="6">
        <f>F132/INDEX('Revision Basis'!$D$5:$D$10,MATCH(B132,'Revision Basis'!$A$5:$A$10,0))</f>
        <v>1</v>
      </c>
      <c r="J132" s="4" t="s">
        <v>11</v>
      </c>
    </row>
    <row r="133" spans="1:10">
      <c r="A133" s="4" t="s">
        <v>33</v>
      </c>
      <c r="B133" s="5">
        <v>2026</v>
      </c>
      <c r="C133" s="6">
        <v>280</v>
      </c>
      <c r="D133" s="6">
        <v>350</v>
      </c>
      <c r="E133" s="6">
        <v>0.65</v>
      </c>
      <c r="F133" s="6">
        <f t="shared" si="2"/>
        <v>325.5</v>
      </c>
      <c r="G133" s="6">
        <f>F133/INDEX('Revision Basis'!$B$5:$B$10,MATCH(B133,'Revision Basis'!$A$5:$A$10,0))</f>
        <v>5.7610619469026547</v>
      </c>
      <c r="H133" s="6">
        <f>F133/INDEX('Revision Basis'!$C$5:$C$10,MATCH(B133,'Revision Basis'!$A$5:$A$10,0))</f>
        <v>1.5486725663716814</v>
      </c>
      <c r="I133" s="6">
        <f>F133/INDEX('Revision Basis'!$D$5:$D$10,MATCH(B133,'Revision Basis'!$A$5:$A$10,0))</f>
        <v>1</v>
      </c>
      <c r="J133" s="4" t="s">
        <v>11</v>
      </c>
    </row>
    <row r="134" spans="1:10">
      <c r="A134" s="4" t="s">
        <v>34</v>
      </c>
      <c r="B134" s="5">
        <v>2021</v>
      </c>
      <c r="C134" s="6">
        <v>277.2</v>
      </c>
      <c r="D134" s="6">
        <v>352.8</v>
      </c>
      <c r="E134" s="6">
        <v>0.65</v>
      </c>
      <c r="F134" s="6">
        <f t="shared" si="2"/>
        <v>326.34000000000003</v>
      </c>
      <c r="G134" s="6">
        <f>F134/INDEX('Revision Basis'!$B$5:$B$10,MATCH(B134,'Revision Basis'!$A$5:$A$10,0))</f>
        <v>5.0400000000000009</v>
      </c>
      <c r="H134" s="6">
        <f>F134/INDEX('Revision Basis'!$C$5:$C$10,MATCH(B134,'Revision Basis'!$A$5:$A$10,0))</f>
        <v>1.3548387096774195</v>
      </c>
      <c r="I134" s="6">
        <f>F134/INDEX('Revision Basis'!$D$5:$D$10,MATCH(B134,'Revision Basis'!$A$5:$A$10,0))</f>
        <v>1.1572340425531915</v>
      </c>
      <c r="J134" s="4" t="s">
        <v>11</v>
      </c>
    </row>
    <row r="135" spans="1:10">
      <c r="A135" s="4" t="s">
        <v>34</v>
      </c>
      <c r="B135" s="5">
        <v>2022</v>
      </c>
      <c r="C135" s="6">
        <v>272.16000000000003</v>
      </c>
      <c r="D135" s="6">
        <v>403.2</v>
      </c>
      <c r="E135" s="6">
        <v>0.65</v>
      </c>
      <c r="F135" s="6">
        <f t="shared" si="2"/>
        <v>357.33600000000001</v>
      </c>
      <c r="G135" s="6">
        <f>F135/INDEX('Revision Basis'!$B$5:$B$10,MATCH(B135,'Revision Basis'!$A$5:$A$10,0))</f>
        <v>5.04</v>
      </c>
      <c r="H135" s="6">
        <f>F135/INDEX('Revision Basis'!$C$5:$C$10,MATCH(B135,'Revision Basis'!$A$5:$A$10,0))</f>
        <v>1.3548284360189573</v>
      </c>
      <c r="I135" s="6">
        <f>F135/INDEX('Revision Basis'!$D$5:$D$10,MATCH(B135,'Revision Basis'!$A$5:$A$10,0))</f>
        <v>0.9209690721649485</v>
      </c>
      <c r="J135" s="4" t="s">
        <v>11</v>
      </c>
    </row>
    <row r="136" spans="1:10">
      <c r="A136" s="4" t="s">
        <v>34</v>
      </c>
      <c r="B136" s="5">
        <v>2023</v>
      </c>
      <c r="C136" s="6">
        <v>236.88</v>
      </c>
      <c r="D136" s="6">
        <v>317.52</v>
      </c>
      <c r="E136" s="6">
        <v>0.65</v>
      </c>
      <c r="F136" s="6">
        <f t="shared" si="2"/>
        <v>289.29599999999999</v>
      </c>
      <c r="G136" s="6">
        <f>F136/INDEX('Revision Basis'!$B$5:$B$10,MATCH(B136,'Revision Basis'!$A$5:$A$10,0))</f>
        <v>5.04</v>
      </c>
      <c r="H136" s="6">
        <f>F136/INDEX('Revision Basis'!$C$5:$C$10,MATCH(B136,'Revision Basis'!$A$5:$A$10,0))</f>
        <v>1.3548260197630309</v>
      </c>
      <c r="I136" s="6">
        <f>F136/INDEX('Revision Basis'!$D$5:$D$10,MATCH(B136,'Revision Basis'!$A$5:$A$10,0))</f>
        <v>0.77872409152086131</v>
      </c>
      <c r="J136" s="4" t="s">
        <v>11</v>
      </c>
    </row>
    <row r="137" spans="1:10">
      <c r="A137" s="4" t="s">
        <v>34</v>
      </c>
      <c r="B137" s="5">
        <v>2024</v>
      </c>
      <c r="C137" s="6">
        <v>236.88</v>
      </c>
      <c r="D137" s="6">
        <v>277.2</v>
      </c>
      <c r="E137" s="6">
        <v>0.65</v>
      </c>
      <c r="F137" s="6">
        <f t="shared" si="2"/>
        <v>263.08799999999997</v>
      </c>
      <c r="G137" s="6">
        <f>F137/INDEX('Revision Basis'!$B$5:$B$10,MATCH(B137,'Revision Basis'!$A$5:$A$10,0))</f>
        <v>5.0399999999999991</v>
      </c>
      <c r="H137" s="6">
        <f>F137/INDEX('Revision Basis'!$C$5:$C$10,MATCH(B137,'Revision Basis'!$A$5:$A$10,0))</f>
        <v>1.3548666186012976</v>
      </c>
      <c r="I137" s="6">
        <f>F137/INDEX('Revision Basis'!$D$5:$D$10,MATCH(B137,'Revision Basis'!$A$5:$A$10,0))</f>
        <v>0.800876712328767</v>
      </c>
      <c r="J137" s="4" t="s">
        <v>11</v>
      </c>
    </row>
    <row r="138" spans="1:10">
      <c r="A138" s="4" t="s">
        <v>34</v>
      </c>
      <c r="B138" s="5">
        <v>2025</v>
      </c>
      <c r="C138" s="6">
        <v>221.76</v>
      </c>
      <c r="D138" s="6">
        <v>307.44</v>
      </c>
      <c r="E138" s="6">
        <v>0.65</v>
      </c>
      <c r="F138" s="6">
        <f t="shared" si="2"/>
        <v>277.452</v>
      </c>
      <c r="G138" s="6">
        <f>F138/INDEX('Revision Basis'!$B$5:$B$10,MATCH(B138,'Revision Basis'!$A$5:$A$10,0))</f>
        <v>5.04</v>
      </c>
      <c r="H138" s="6">
        <f>F138/INDEX('Revision Basis'!$C$5:$C$10,MATCH(B138,'Revision Basis'!$A$5:$A$10,0))</f>
        <v>1.3548122466917329</v>
      </c>
      <c r="I138" s="6">
        <f>F138/INDEX('Revision Basis'!$D$5:$D$10,MATCH(B138,'Revision Basis'!$A$5:$A$10,0))</f>
        <v>0.84396045627376426</v>
      </c>
      <c r="J138" s="4" t="s">
        <v>11</v>
      </c>
    </row>
    <row r="139" spans="1:10">
      <c r="A139" s="4" t="s">
        <v>34</v>
      </c>
      <c r="B139" s="5">
        <v>2026</v>
      </c>
      <c r="C139" s="6">
        <v>252</v>
      </c>
      <c r="D139" s="6">
        <v>302.39999999999998</v>
      </c>
      <c r="E139" s="6">
        <v>0.65</v>
      </c>
      <c r="F139" s="6">
        <f t="shared" si="2"/>
        <v>284.76</v>
      </c>
      <c r="G139" s="6">
        <f>F139/INDEX('Revision Basis'!$B$5:$B$10,MATCH(B139,'Revision Basis'!$A$5:$A$10,0))</f>
        <v>5.04</v>
      </c>
      <c r="H139" s="6">
        <f>F139/INDEX('Revision Basis'!$C$5:$C$10,MATCH(B139,'Revision Basis'!$A$5:$A$10,0))</f>
        <v>1.3548387096774193</v>
      </c>
      <c r="I139" s="6">
        <f>F139/INDEX('Revision Basis'!$D$5:$D$10,MATCH(B139,'Revision Basis'!$A$5:$A$10,0))</f>
        <v>0.87483870967741928</v>
      </c>
      <c r="J139" s="4" t="s">
        <v>11</v>
      </c>
    </row>
    <row r="140" spans="1:10">
      <c r="A140" s="4" t="s">
        <v>35</v>
      </c>
      <c r="B140" s="5">
        <v>2021</v>
      </c>
      <c r="C140" s="6">
        <v>467.5</v>
      </c>
      <c r="D140" s="6">
        <v>595</v>
      </c>
      <c r="E140" s="6">
        <v>0.65</v>
      </c>
      <c r="F140" s="6">
        <f t="shared" si="2"/>
        <v>550.375</v>
      </c>
      <c r="G140" s="6">
        <f>F140/INDEX('Revision Basis'!$B$5:$B$10,MATCH(B140,'Revision Basis'!$A$5:$A$10,0))</f>
        <v>8.5</v>
      </c>
      <c r="H140" s="6">
        <f>F140/INDEX('Revision Basis'!$C$5:$C$10,MATCH(B140,'Revision Basis'!$A$5:$A$10,0))</f>
        <v>2.2849462365591395</v>
      </c>
      <c r="I140" s="6">
        <f>F140/INDEX('Revision Basis'!$D$5:$D$10,MATCH(B140,'Revision Basis'!$A$5:$A$10,0))</f>
        <v>1.9516843971631206</v>
      </c>
      <c r="J140" s="4" t="s">
        <v>11</v>
      </c>
    </row>
    <row r="141" spans="1:10">
      <c r="A141" s="4" t="s">
        <v>35</v>
      </c>
      <c r="B141" s="5">
        <v>2022</v>
      </c>
      <c r="C141" s="6">
        <v>459</v>
      </c>
      <c r="D141" s="6">
        <v>680</v>
      </c>
      <c r="E141" s="6">
        <v>0.65</v>
      </c>
      <c r="F141" s="6">
        <f t="shared" si="2"/>
        <v>602.65</v>
      </c>
      <c r="G141" s="6">
        <f>F141/INDEX('Revision Basis'!$B$5:$B$10,MATCH(B141,'Revision Basis'!$A$5:$A$10,0))</f>
        <v>8.4999999999999982</v>
      </c>
      <c r="H141" s="6">
        <f>F141/INDEX('Revision Basis'!$C$5:$C$10,MATCH(B141,'Revision Basis'!$A$5:$A$10,0))</f>
        <v>2.2849289099526064</v>
      </c>
      <c r="I141" s="6">
        <f>F141/INDEX('Revision Basis'!$D$5:$D$10,MATCH(B141,'Revision Basis'!$A$5:$A$10,0))</f>
        <v>1.5532216494845361</v>
      </c>
      <c r="J141" s="4" t="s">
        <v>11</v>
      </c>
    </row>
    <row r="142" spans="1:10">
      <c r="A142" s="4" t="s">
        <v>35</v>
      </c>
      <c r="B142" s="5">
        <v>2023</v>
      </c>
      <c r="C142" s="6">
        <v>399.5</v>
      </c>
      <c r="D142" s="6">
        <v>535.5</v>
      </c>
      <c r="E142" s="6">
        <v>0.65</v>
      </c>
      <c r="F142" s="6">
        <f t="shared" si="2"/>
        <v>487.9</v>
      </c>
      <c r="G142" s="6">
        <f>F142/INDEX('Revision Basis'!$B$5:$B$10,MATCH(B142,'Revision Basis'!$A$5:$A$10,0))</f>
        <v>8.5</v>
      </c>
      <c r="H142" s="6">
        <f>F142/INDEX('Revision Basis'!$C$5:$C$10,MATCH(B142,'Revision Basis'!$A$5:$A$10,0))</f>
        <v>2.2849248349178102</v>
      </c>
      <c r="I142" s="6">
        <f>F142/INDEX('Revision Basis'!$D$5:$D$10,MATCH(B142,'Revision Basis'!$A$5:$A$10,0))</f>
        <v>1.3133243606998652</v>
      </c>
      <c r="J142" s="4" t="s">
        <v>11</v>
      </c>
    </row>
    <row r="143" spans="1:10">
      <c r="A143" s="4" t="s">
        <v>35</v>
      </c>
      <c r="B143" s="5">
        <v>2024</v>
      </c>
      <c r="C143" s="6">
        <v>399.5</v>
      </c>
      <c r="D143" s="6">
        <v>467.5</v>
      </c>
      <c r="E143" s="6">
        <v>0.65</v>
      </c>
      <c r="F143" s="6">
        <f t="shared" si="2"/>
        <v>443.7</v>
      </c>
      <c r="G143" s="6">
        <f>F143/INDEX('Revision Basis'!$B$5:$B$10,MATCH(B143,'Revision Basis'!$A$5:$A$10,0))</f>
        <v>8.5</v>
      </c>
      <c r="H143" s="6">
        <f>F143/INDEX('Revision Basis'!$C$5:$C$10,MATCH(B143,'Revision Basis'!$A$5:$A$10,0))</f>
        <v>2.2849933051807598</v>
      </c>
      <c r="I143" s="6">
        <f>F143/INDEX('Revision Basis'!$D$5:$D$10,MATCH(B143,'Revision Basis'!$A$5:$A$10,0))</f>
        <v>1.3506849315068492</v>
      </c>
      <c r="J143" s="4" t="s">
        <v>11</v>
      </c>
    </row>
    <row r="144" spans="1:10">
      <c r="A144" s="4" t="s">
        <v>35</v>
      </c>
      <c r="B144" s="5">
        <v>2025</v>
      </c>
      <c r="C144" s="6">
        <v>374</v>
      </c>
      <c r="D144" s="6">
        <v>518.5</v>
      </c>
      <c r="E144" s="6">
        <v>0.65</v>
      </c>
      <c r="F144" s="6">
        <f t="shared" si="2"/>
        <v>467.92500000000001</v>
      </c>
      <c r="G144" s="6">
        <f>F144/INDEX('Revision Basis'!$B$5:$B$10,MATCH(B144,'Revision Basis'!$A$5:$A$10,0))</f>
        <v>8.5</v>
      </c>
      <c r="H144" s="6">
        <f>F144/INDEX('Revision Basis'!$C$5:$C$10,MATCH(B144,'Revision Basis'!$A$5:$A$10,0))</f>
        <v>2.2849016065237562</v>
      </c>
      <c r="I144" s="6">
        <f>F144/INDEX('Revision Basis'!$D$5:$D$10,MATCH(B144,'Revision Basis'!$A$5:$A$10,0))</f>
        <v>1.4233460076045628</v>
      </c>
      <c r="J144" s="4" t="s">
        <v>11</v>
      </c>
    </row>
    <row r="145" spans="1:10">
      <c r="A145" s="4" t="s">
        <v>35</v>
      </c>
      <c r="B145" s="5">
        <v>2026</v>
      </c>
      <c r="C145" s="6">
        <v>425</v>
      </c>
      <c r="D145" s="6">
        <v>510</v>
      </c>
      <c r="E145" s="6">
        <v>0.65</v>
      </c>
      <c r="F145" s="6">
        <f t="shared" si="2"/>
        <v>480.25</v>
      </c>
      <c r="G145" s="6">
        <f>F145/INDEX('Revision Basis'!$B$5:$B$10,MATCH(B145,'Revision Basis'!$A$5:$A$10,0))</f>
        <v>8.5</v>
      </c>
      <c r="H145" s="6">
        <f>F145/INDEX('Revision Basis'!$C$5:$C$10,MATCH(B145,'Revision Basis'!$A$5:$A$10,0))</f>
        <v>2.2849462365591395</v>
      </c>
      <c r="I145" s="6">
        <f>F145/INDEX('Revision Basis'!$D$5:$D$10,MATCH(B145,'Revision Basis'!$A$5:$A$10,0))</f>
        <v>1.4754224270353302</v>
      </c>
      <c r="J145" s="4" t="s">
        <v>11</v>
      </c>
    </row>
    <row r="146" spans="1:10">
      <c r="A146" s="4" t="s">
        <v>36</v>
      </c>
      <c r="B146" s="5">
        <v>2021</v>
      </c>
      <c r="C146" s="6">
        <v>506</v>
      </c>
      <c r="D146" s="6">
        <v>644</v>
      </c>
      <c r="E146" s="6">
        <v>0.65</v>
      </c>
      <c r="F146" s="6">
        <f t="shared" si="2"/>
        <v>595.70000000000005</v>
      </c>
      <c r="G146" s="6">
        <f>F146/INDEX('Revision Basis'!$B$5:$B$10,MATCH(B146,'Revision Basis'!$A$5:$A$10,0))</f>
        <v>9.2000000000000011</v>
      </c>
      <c r="H146" s="6">
        <f>F146/INDEX('Revision Basis'!$C$5:$C$10,MATCH(B146,'Revision Basis'!$A$5:$A$10,0))</f>
        <v>2.4731182795698925</v>
      </c>
      <c r="I146" s="6">
        <f>F146/INDEX('Revision Basis'!$D$5:$D$10,MATCH(B146,'Revision Basis'!$A$5:$A$10,0))</f>
        <v>2.1124113475177309</v>
      </c>
      <c r="J146" s="4" t="s">
        <v>11</v>
      </c>
    </row>
    <row r="147" spans="1:10">
      <c r="A147" s="4" t="s">
        <v>36</v>
      </c>
      <c r="B147" s="5">
        <v>2022</v>
      </c>
      <c r="C147" s="6">
        <v>496.8</v>
      </c>
      <c r="D147" s="6">
        <v>736</v>
      </c>
      <c r="E147" s="6">
        <v>0.65</v>
      </c>
      <c r="F147" s="6">
        <f t="shared" si="2"/>
        <v>652.28</v>
      </c>
      <c r="G147" s="6">
        <f>F147/INDEX('Revision Basis'!$B$5:$B$10,MATCH(B147,'Revision Basis'!$A$5:$A$10,0))</f>
        <v>9.1999999999999993</v>
      </c>
      <c r="H147" s="6">
        <f>F147/INDEX('Revision Basis'!$C$5:$C$10,MATCH(B147,'Revision Basis'!$A$5:$A$10,0))</f>
        <v>2.4730995260663504</v>
      </c>
      <c r="I147" s="6">
        <f>F147/INDEX('Revision Basis'!$D$5:$D$10,MATCH(B147,'Revision Basis'!$A$5:$A$10,0))</f>
        <v>1.6811340206185565</v>
      </c>
      <c r="J147" s="4" t="s">
        <v>11</v>
      </c>
    </row>
    <row r="148" spans="1:10">
      <c r="A148" s="4" t="s">
        <v>36</v>
      </c>
      <c r="B148" s="5">
        <v>2023</v>
      </c>
      <c r="C148" s="6">
        <v>432.4</v>
      </c>
      <c r="D148" s="6">
        <v>579.6</v>
      </c>
      <c r="E148" s="6">
        <v>0.65</v>
      </c>
      <c r="F148" s="6">
        <f t="shared" si="2"/>
        <v>528.08000000000004</v>
      </c>
      <c r="G148" s="6">
        <f>F148/INDEX('Revision Basis'!$B$5:$B$10,MATCH(B148,'Revision Basis'!$A$5:$A$10,0))</f>
        <v>9.2000000000000011</v>
      </c>
      <c r="H148" s="6">
        <f>F148/INDEX('Revision Basis'!$C$5:$C$10,MATCH(B148,'Revision Basis'!$A$5:$A$10,0))</f>
        <v>2.4730951154404535</v>
      </c>
      <c r="I148" s="6">
        <f>F148/INDEX('Revision Basis'!$D$5:$D$10,MATCH(B148,'Revision Basis'!$A$5:$A$10,0))</f>
        <v>1.4214804845222073</v>
      </c>
      <c r="J148" s="4" t="s">
        <v>11</v>
      </c>
    </row>
    <row r="149" spans="1:10">
      <c r="A149" s="4" t="s">
        <v>36</v>
      </c>
      <c r="B149" s="5">
        <v>2024</v>
      </c>
      <c r="C149" s="6">
        <v>432.4</v>
      </c>
      <c r="D149" s="6">
        <v>506</v>
      </c>
      <c r="E149" s="6">
        <v>0.65</v>
      </c>
      <c r="F149" s="6">
        <f t="shared" si="2"/>
        <v>480.24</v>
      </c>
      <c r="G149" s="6">
        <f>F149/INDEX('Revision Basis'!$B$5:$B$10,MATCH(B149,'Revision Basis'!$A$5:$A$10,0))</f>
        <v>9.1999999999999993</v>
      </c>
      <c r="H149" s="6">
        <f>F149/INDEX('Revision Basis'!$C$5:$C$10,MATCH(B149,'Revision Basis'!$A$5:$A$10,0))</f>
        <v>2.4731692244309404</v>
      </c>
      <c r="I149" s="6">
        <f>F149/INDEX('Revision Basis'!$D$5:$D$10,MATCH(B149,'Revision Basis'!$A$5:$A$10,0))</f>
        <v>1.4619178082191782</v>
      </c>
      <c r="J149" s="4" t="s">
        <v>11</v>
      </c>
    </row>
    <row r="150" spans="1:10">
      <c r="A150" s="4" t="s">
        <v>36</v>
      </c>
      <c r="B150" s="5">
        <v>2025</v>
      </c>
      <c r="C150" s="6">
        <v>404.8</v>
      </c>
      <c r="D150" s="6">
        <v>561.20000000000005</v>
      </c>
      <c r="E150" s="6">
        <v>0.65</v>
      </c>
      <c r="F150" s="6">
        <f t="shared" si="2"/>
        <v>506.46000000000004</v>
      </c>
      <c r="G150" s="6">
        <f>F150/INDEX('Revision Basis'!$B$5:$B$10,MATCH(B150,'Revision Basis'!$A$5:$A$10,0))</f>
        <v>9.2000000000000011</v>
      </c>
      <c r="H150" s="6">
        <f>F150/INDEX('Revision Basis'!$C$5:$C$10,MATCH(B150,'Revision Basis'!$A$5:$A$10,0))</f>
        <v>2.4730699741198303</v>
      </c>
      <c r="I150" s="6">
        <f>F150/INDEX('Revision Basis'!$D$5:$D$10,MATCH(B150,'Revision Basis'!$A$5:$A$10,0))</f>
        <v>1.5405627376425857</v>
      </c>
      <c r="J150" s="4" t="s">
        <v>11</v>
      </c>
    </row>
    <row r="151" spans="1:10">
      <c r="A151" s="4" t="s">
        <v>36</v>
      </c>
      <c r="B151" s="5">
        <v>2026</v>
      </c>
      <c r="C151" s="6">
        <v>460</v>
      </c>
      <c r="D151" s="6">
        <v>552</v>
      </c>
      <c r="E151" s="6">
        <v>0.65</v>
      </c>
      <c r="F151" s="6">
        <f t="shared" si="2"/>
        <v>519.79999999999995</v>
      </c>
      <c r="G151" s="6">
        <f>F151/INDEX('Revision Basis'!$B$5:$B$10,MATCH(B151,'Revision Basis'!$A$5:$A$10,0))</f>
        <v>9.1999999999999993</v>
      </c>
      <c r="H151" s="6">
        <f>F151/INDEX('Revision Basis'!$C$5:$C$10,MATCH(B151,'Revision Basis'!$A$5:$A$10,0))</f>
        <v>2.4731182795698921</v>
      </c>
      <c r="I151" s="6">
        <f>F151/INDEX('Revision Basis'!$D$5:$D$10,MATCH(B151,'Revision Basis'!$A$5:$A$10,0))</f>
        <v>1.5969278033794161</v>
      </c>
      <c r="J151" s="4" t="s">
        <v>11</v>
      </c>
    </row>
    <row r="152" spans="1:10" ht="28">
      <c r="A152" s="4" t="s">
        <v>37</v>
      </c>
      <c r="B152" s="5">
        <v>2021</v>
      </c>
      <c r="C152" s="6">
        <v>246.1</v>
      </c>
      <c r="D152" s="6">
        <v>372</v>
      </c>
      <c r="E152" s="6">
        <v>0.65</v>
      </c>
      <c r="F152" s="6">
        <f t="shared" si="2"/>
        <v>327.935</v>
      </c>
      <c r="G152" s="6">
        <f>F152/INDEX('Revision Basis'!$B$5:$B$10,MATCH(B152,'Revision Basis'!$A$5:$A$10,0))</f>
        <v>5.0646332046332043</v>
      </c>
      <c r="H152" s="6">
        <f>F152/INDEX('Revision Basis'!$C$5:$C$10,MATCH(B152,'Revision Basis'!$A$5:$A$10,0))</f>
        <v>1.3614605388798937</v>
      </c>
      <c r="I152" s="6">
        <f>F152/INDEX('Revision Basis'!$D$5:$D$10,MATCH(B152,'Revision Basis'!$A$5:$A$10,0))</f>
        <v>1.1628900709219858</v>
      </c>
      <c r="J152" s="4" t="s">
        <v>38</v>
      </c>
    </row>
    <row r="153" spans="1:10" ht="28">
      <c r="A153" s="4" t="s">
        <v>37</v>
      </c>
      <c r="B153" s="5">
        <v>2022</v>
      </c>
      <c r="C153" s="6">
        <v>331.7</v>
      </c>
      <c r="D153" s="6">
        <v>516</v>
      </c>
      <c r="E153" s="6">
        <v>0.65</v>
      </c>
      <c r="F153" s="6">
        <f t="shared" si="2"/>
        <v>451.495</v>
      </c>
      <c r="G153" s="6">
        <f>F153/INDEX('Revision Basis'!$B$5:$B$10,MATCH(B153,'Revision Basis'!$A$5:$A$10,0))</f>
        <v>6.3680535966149501</v>
      </c>
      <c r="H153" s="6">
        <f>F153/INDEX('Revision Basis'!$C$5:$C$10,MATCH(B153,'Revision Basis'!$A$5:$A$10,0))</f>
        <v>1.7118293838862559</v>
      </c>
      <c r="I153" s="6">
        <f>F153/INDEX('Revision Basis'!$D$5:$D$10,MATCH(B153,'Revision Basis'!$A$5:$A$10,0))</f>
        <v>1.1636469072164948</v>
      </c>
      <c r="J153" s="4" t="s">
        <v>38</v>
      </c>
    </row>
    <row r="154" spans="1:10" ht="28">
      <c r="A154" s="4" t="s">
        <v>37</v>
      </c>
      <c r="B154" s="5">
        <v>2023</v>
      </c>
      <c r="C154" s="6">
        <v>321</v>
      </c>
      <c r="D154" s="6">
        <v>492</v>
      </c>
      <c r="E154" s="6">
        <v>0.65</v>
      </c>
      <c r="F154" s="6">
        <f t="shared" si="2"/>
        <v>432.15</v>
      </c>
      <c r="G154" s="6">
        <f>F154/INDEX('Revision Basis'!$B$5:$B$10,MATCH(B154,'Revision Basis'!$A$5:$A$10,0))</f>
        <v>7.5287456445993026</v>
      </c>
      <c r="H154" s="6">
        <f>F154/INDEX('Revision Basis'!$C$5:$C$10,MATCH(B154,'Revision Basis'!$A$5:$A$10,0))</f>
        <v>2.0238373998969696</v>
      </c>
      <c r="I154" s="6">
        <f>F154/INDEX('Revision Basis'!$D$5:$D$10,MATCH(B154,'Revision Basis'!$A$5:$A$10,0))</f>
        <v>1.1632570659488559</v>
      </c>
      <c r="J154" s="4" t="s">
        <v>38</v>
      </c>
    </row>
    <row r="155" spans="1:10" ht="28">
      <c r="A155" s="4" t="s">
        <v>37</v>
      </c>
      <c r="B155" s="5">
        <v>2024</v>
      </c>
      <c r="C155" s="6">
        <v>288.89999999999998</v>
      </c>
      <c r="D155" s="6">
        <v>432</v>
      </c>
      <c r="E155" s="6">
        <v>0.65</v>
      </c>
      <c r="F155" s="6">
        <f t="shared" si="2"/>
        <v>381.91499999999996</v>
      </c>
      <c r="G155" s="6">
        <f>F155/INDEX('Revision Basis'!$B$5:$B$10,MATCH(B155,'Revision Basis'!$A$5:$A$10,0))</f>
        <v>7.3163793103448267</v>
      </c>
      <c r="H155" s="6">
        <f>F155/INDEX('Revision Basis'!$C$5:$C$10,MATCH(B155,'Revision Basis'!$A$5:$A$10,0))</f>
        <v>1.9668091461530537</v>
      </c>
      <c r="I155" s="6">
        <f>F155/INDEX('Revision Basis'!$D$5:$D$10,MATCH(B155,'Revision Basis'!$A$5:$A$10,0))</f>
        <v>1.1626027397260272</v>
      </c>
      <c r="J155" s="4" t="s">
        <v>38</v>
      </c>
    </row>
    <row r="156" spans="1:10" ht="28">
      <c r="A156" s="4" t="s">
        <v>37</v>
      </c>
      <c r="B156" s="5">
        <v>2025</v>
      </c>
      <c r="C156" s="6">
        <v>299.60000000000002</v>
      </c>
      <c r="D156" s="6">
        <v>426</v>
      </c>
      <c r="E156" s="6">
        <v>0.65</v>
      </c>
      <c r="F156" s="6">
        <f t="shared" si="2"/>
        <v>381.76</v>
      </c>
      <c r="G156" s="6">
        <f>F156/INDEX('Revision Basis'!$B$5:$B$10,MATCH(B156,'Revision Basis'!$A$5:$A$10,0))</f>
        <v>6.9347865576748413</v>
      </c>
      <c r="H156" s="6">
        <f>F156/INDEX('Revision Basis'!$C$5:$C$10,MATCH(B156,'Revision Basis'!$A$5:$A$10,0))</f>
        <v>1.8641535231212463</v>
      </c>
      <c r="I156" s="6">
        <f>F156/INDEX('Revision Basis'!$D$5:$D$10,MATCH(B156,'Revision Basis'!$A$5:$A$10,0))</f>
        <v>1.1612471482889735</v>
      </c>
      <c r="J156" s="4" t="s">
        <v>38</v>
      </c>
    </row>
    <row r="157" spans="1:10" ht="28">
      <c r="A157" s="4" t="s">
        <v>37</v>
      </c>
      <c r="B157" s="5">
        <v>2026</v>
      </c>
      <c r="C157" s="6">
        <v>299.60000000000002</v>
      </c>
      <c r="D157" s="6">
        <v>420</v>
      </c>
      <c r="E157" s="6">
        <v>0.65</v>
      </c>
      <c r="F157" s="6">
        <f t="shared" si="2"/>
        <v>377.86</v>
      </c>
      <c r="G157" s="6">
        <f>F157/INDEX('Revision Basis'!$B$5:$B$10,MATCH(B157,'Revision Basis'!$A$5:$A$10,0))</f>
        <v>6.6877876106194689</v>
      </c>
      <c r="H157" s="6">
        <f>F157/INDEX('Revision Basis'!$C$5:$C$10,MATCH(B157,'Revision Basis'!$A$5:$A$10,0))</f>
        <v>1.7977923684460939</v>
      </c>
      <c r="I157" s="6">
        <f>F157/INDEX('Revision Basis'!$D$5:$D$10,MATCH(B157,'Revision Basis'!$A$5:$A$10,0))</f>
        <v>1.1608602150537635</v>
      </c>
      <c r="J157" s="4" t="s">
        <v>38</v>
      </c>
    </row>
    <row r="158" spans="1:10">
      <c r="A158" s="4" t="s">
        <v>39</v>
      </c>
      <c r="B158" s="5">
        <v>2021</v>
      </c>
      <c r="C158" s="6">
        <v>1021.9</v>
      </c>
      <c r="D158" s="6">
        <v>1300.5999999999999</v>
      </c>
      <c r="E158" s="6">
        <v>0.65</v>
      </c>
      <c r="F158" s="6">
        <f t="shared" si="2"/>
        <v>1203.0549999999998</v>
      </c>
      <c r="G158" s="6">
        <f>F158/INDEX('Revision Basis'!$B$5:$B$10,MATCH(B158,'Revision Basis'!$A$5:$A$10,0))</f>
        <v>18.579999999999998</v>
      </c>
      <c r="H158" s="6">
        <f>F158/INDEX('Revision Basis'!$C$5:$C$10,MATCH(B158,'Revision Basis'!$A$5:$A$10,0))</f>
        <v>4.9946236559139781</v>
      </c>
      <c r="I158" s="6">
        <f>F158/INDEX('Revision Basis'!$D$5:$D$10,MATCH(B158,'Revision Basis'!$A$5:$A$10,0))</f>
        <v>4.2661524822695034</v>
      </c>
      <c r="J158" s="4" t="s">
        <v>11</v>
      </c>
    </row>
    <row r="159" spans="1:10">
      <c r="A159" s="4" t="s">
        <v>39</v>
      </c>
      <c r="B159" s="5">
        <v>2022</v>
      </c>
      <c r="C159" s="6">
        <v>1003.32</v>
      </c>
      <c r="D159" s="6">
        <v>1486.4</v>
      </c>
      <c r="E159" s="6">
        <v>0.65</v>
      </c>
      <c r="F159" s="6">
        <f t="shared" si="2"/>
        <v>1317.3220000000001</v>
      </c>
      <c r="G159" s="6">
        <f>F159/INDEX('Revision Basis'!$B$5:$B$10,MATCH(B159,'Revision Basis'!$A$5:$A$10,0))</f>
        <v>18.580000000000002</v>
      </c>
      <c r="H159" s="6">
        <f>F159/INDEX('Revision Basis'!$C$5:$C$10,MATCH(B159,'Revision Basis'!$A$5:$A$10,0))</f>
        <v>4.9945857819905219</v>
      </c>
      <c r="I159" s="6">
        <f>F159/INDEX('Revision Basis'!$D$5:$D$10,MATCH(B159,'Revision Basis'!$A$5:$A$10,0))</f>
        <v>3.3951597938144333</v>
      </c>
      <c r="J159" s="4" t="s">
        <v>11</v>
      </c>
    </row>
    <row r="160" spans="1:10">
      <c r="A160" s="4" t="s">
        <v>39</v>
      </c>
      <c r="B160" s="5">
        <v>2023</v>
      </c>
      <c r="C160" s="6">
        <v>873.26</v>
      </c>
      <c r="D160" s="6">
        <v>1170.54</v>
      </c>
      <c r="E160" s="6">
        <v>0.65</v>
      </c>
      <c r="F160" s="6">
        <f t="shared" si="2"/>
        <v>1066.492</v>
      </c>
      <c r="G160" s="6">
        <f>F160/INDEX('Revision Basis'!$B$5:$B$10,MATCH(B160,'Revision Basis'!$A$5:$A$10,0))</f>
        <v>18.579999999999998</v>
      </c>
      <c r="H160" s="6">
        <f>F160/INDEX('Revision Basis'!$C$5:$C$10,MATCH(B160,'Revision Basis'!$A$5:$A$10,0))</f>
        <v>4.9945768744438714</v>
      </c>
      <c r="I160" s="6">
        <f>F160/INDEX('Revision Basis'!$D$5:$D$10,MATCH(B160,'Revision Basis'!$A$5:$A$10,0))</f>
        <v>2.8707725437415879</v>
      </c>
      <c r="J160" s="4" t="s">
        <v>11</v>
      </c>
    </row>
    <row r="161" spans="1:10">
      <c r="A161" s="4" t="s">
        <v>39</v>
      </c>
      <c r="B161" s="5">
        <v>2024</v>
      </c>
      <c r="C161" s="6">
        <v>873.26</v>
      </c>
      <c r="D161" s="6">
        <v>1021.9</v>
      </c>
      <c r="E161" s="6">
        <v>0.65</v>
      </c>
      <c r="F161" s="6">
        <f t="shared" si="2"/>
        <v>969.87599999999998</v>
      </c>
      <c r="G161" s="6">
        <f>F161/INDEX('Revision Basis'!$B$5:$B$10,MATCH(B161,'Revision Basis'!$A$5:$A$10,0))</f>
        <v>18.579999999999998</v>
      </c>
      <c r="H161" s="6">
        <f>F161/INDEX('Revision Basis'!$C$5:$C$10,MATCH(B161,'Revision Basis'!$A$5:$A$10,0))</f>
        <v>4.9947265423833551</v>
      </c>
      <c r="I161" s="6">
        <f>F161/INDEX('Revision Basis'!$D$5:$D$10,MATCH(B161,'Revision Basis'!$A$5:$A$10,0))</f>
        <v>2.9524383561643837</v>
      </c>
      <c r="J161" s="4" t="s">
        <v>11</v>
      </c>
    </row>
    <row r="162" spans="1:10">
      <c r="A162" s="4" t="s">
        <v>39</v>
      </c>
      <c r="B162" s="5">
        <v>2025</v>
      </c>
      <c r="C162" s="6">
        <v>817.52</v>
      </c>
      <c r="D162" s="6">
        <v>1133.3800000000001</v>
      </c>
      <c r="E162" s="6">
        <v>0.65</v>
      </c>
      <c r="F162" s="6">
        <f t="shared" si="2"/>
        <v>1022.8290000000001</v>
      </c>
      <c r="G162" s="6">
        <f>F162/INDEX('Revision Basis'!$B$5:$B$10,MATCH(B162,'Revision Basis'!$A$5:$A$10,0))</f>
        <v>18.580000000000002</v>
      </c>
      <c r="H162" s="6">
        <f>F162/INDEX('Revision Basis'!$C$5:$C$10,MATCH(B162,'Revision Basis'!$A$5:$A$10,0))</f>
        <v>4.9945260999072225</v>
      </c>
      <c r="I162" s="6">
        <f>F162/INDEX('Revision Basis'!$D$5:$D$10,MATCH(B162,'Revision Basis'!$A$5:$A$10,0))</f>
        <v>3.1112669201520915</v>
      </c>
      <c r="J162" s="4" t="s">
        <v>11</v>
      </c>
    </row>
    <row r="163" spans="1:10">
      <c r="A163" s="4" t="s">
        <v>39</v>
      </c>
      <c r="B163" s="5">
        <v>2026</v>
      </c>
      <c r="C163" s="6">
        <v>929</v>
      </c>
      <c r="D163" s="6">
        <v>1114.8</v>
      </c>
      <c r="E163" s="6">
        <v>0.65</v>
      </c>
      <c r="F163" s="6">
        <f t="shared" si="2"/>
        <v>1049.77</v>
      </c>
      <c r="G163" s="6">
        <f>F163/INDEX('Revision Basis'!$B$5:$B$10,MATCH(B163,'Revision Basis'!$A$5:$A$10,0))</f>
        <v>18.579999999999998</v>
      </c>
      <c r="H163" s="6">
        <f>F163/INDEX('Revision Basis'!$C$5:$C$10,MATCH(B163,'Revision Basis'!$A$5:$A$10,0))</f>
        <v>4.9946236559139781</v>
      </c>
      <c r="I163" s="6">
        <f>F163/INDEX('Revision Basis'!$D$5:$D$10,MATCH(B163,'Revision Basis'!$A$5:$A$10,0))</f>
        <v>3.2250998463901688</v>
      </c>
      <c r="J163" s="4" t="s">
        <v>11</v>
      </c>
    </row>
    <row r="164" spans="1:10">
      <c r="A164" s="4" t="s">
        <v>40</v>
      </c>
      <c r="B164" s="5">
        <v>2021</v>
      </c>
      <c r="C164" s="6">
        <v>973.5</v>
      </c>
      <c r="D164" s="6">
        <v>1239</v>
      </c>
      <c r="E164" s="6">
        <v>0.65</v>
      </c>
      <c r="F164" s="6">
        <f t="shared" si="2"/>
        <v>1146.075</v>
      </c>
      <c r="G164" s="6">
        <f>F164/INDEX('Revision Basis'!$B$5:$B$10,MATCH(B164,'Revision Basis'!$A$5:$A$10,0))</f>
        <v>17.7</v>
      </c>
      <c r="H164" s="6">
        <f>F164/INDEX('Revision Basis'!$C$5:$C$10,MATCH(B164,'Revision Basis'!$A$5:$A$10,0))</f>
        <v>4.758064516129032</v>
      </c>
      <c r="I164" s="6">
        <f>F164/INDEX('Revision Basis'!$D$5:$D$10,MATCH(B164,'Revision Basis'!$A$5:$A$10,0))</f>
        <v>4.0640957446808512</v>
      </c>
      <c r="J164" s="4" t="s">
        <v>11</v>
      </c>
    </row>
    <row r="165" spans="1:10">
      <c r="A165" s="4" t="s">
        <v>40</v>
      </c>
      <c r="B165" s="5">
        <v>2022</v>
      </c>
      <c r="C165" s="6">
        <v>955.8</v>
      </c>
      <c r="D165" s="6">
        <v>1416</v>
      </c>
      <c r="E165" s="6">
        <v>0.65</v>
      </c>
      <c r="F165" s="6">
        <f t="shared" si="2"/>
        <v>1254.93</v>
      </c>
      <c r="G165" s="6">
        <f>F165/INDEX('Revision Basis'!$B$5:$B$10,MATCH(B165,'Revision Basis'!$A$5:$A$10,0))</f>
        <v>17.7</v>
      </c>
      <c r="H165" s="6">
        <f>F165/INDEX('Revision Basis'!$C$5:$C$10,MATCH(B165,'Revision Basis'!$A$5:$A$10,0))</f>
        <v>4.7580284360189573</v>
      </c>
      <c r="I165" s="6">
        <f>F165/INDEX('Revision Basis'!$D$5:$D$10,MATCH(B165,'Revision Basis'!$A$5:$A$10,0))</f>
        <v>3.2343556701030929</v>
      </c>
      <c r="J165" s="4" t="s">
        <v>11</v>
      </c>
    </row>
    <row r="166" spans="1:10">
      <c r="A166" s="4" t="s">
        <v>40</v>
      </c>
      <c r="B166" s="5">
        <v>2023</v>
      </c>
      <c r="C166" s="6">
        <v>831.9</v>
      </c>
      <c r="D166" s="6">
        <v>1115.0999999999999</v>
      </c>
      <c r="E166" s="6">
        <v>0.65</v>
      </c>
      <c r="F166" s="6">
        <f t="shared" si="2"/>
        <v>1015.9799999999999</v>
      </c>
      <c r="G166" s="6">
        <f>F166/INDEX('Revision Basis'!$B$5:$B$10,MATCH(B166,'Revision Basis'!$A$5:$A$10,0))</f>
        <v>17.7</v>
      </c>
      <c r="H166" s="6">
        <f>F166/INDEX('Revision Basis'!$C$5:$C$10,MATCH(B166,'Revision Basis'!$A$5:$A$10,0))</f>
        <v>4.7580199503582632</v>
      </c>
      <c r="I166" s="6">
        <f>F166/INDEX('Revision Basis'!$D$5:$D$10,MATCH(B166,'Revision Basis'!$A$5:$A$10,0))</f>
        <v>2.7348048452220723</v>
      </c>
      <c r="J166" s="4" t="s">
        <v>11</v>
      </c>
    </row>
    <row r="167" spans="1:10">
      <c r="A167" s="4" t="s">
        <v>40</v>
      </c>
      <c r="B167" s="5">
        <v>2024</v>
      </c>
      <c r="C167" s="6">
        <v>831.9</v>
      </c>
      <c r="D167" s="6">
        <v>973.5</v>
      </c>
      <c r="E167" s="6">
        <v>0.65</v>
      </c>
      <c r="F167" s="6">
        <f t="shared" si="2"/>
        <v>923.94</v>
      </c>
      <c r="G167" s="6">
        <f>F167/INDEX('Revision Basis'!$B$5:$B$10,MATCH(B167,'Revision Basis'!$A$5:$A$10,0))</f>
        <v>17.7</v>
      </c>
      <c r="H167" s="6">
        <f>F167/INDEX('Revision Basis'!$C$5:$C$10,MATCH(B167,'Revision Basis'!$A$5:$A$10,0))</f>
        <v>4.7581625296117007</v>
      </c>
      <c r="I167" s="6">
        <f>F167/INDEX('Revision Basis'!$D$5:$D$10,MATCH(B167,'Revision Basis'!$A$5:$A$10,0))</f>
        <v>2.8126027397260276</v>
      </c>
      <c r="J167" s="4" t="s">
        <v>11</v>
      </c>
    </row>
    <row r="168" spans="1:10">
      <c r="A168" s="4" t="s">
        <v>40</v>
      </c>
      <c r="B168" s="5">
        <v>2025</v>
      </c>
      <c r="C168" s="6">
        <v>778.8</v>
      </c>
      <c r="D168" s="6">
        <v>1079.7</v>
      </c>
      <c r="E168" s="6">
        <v>0.65</v>
      </c>
      <c r="F168" s="6">
        <f t="shared" si="2"/>
        <v>974.38499999999999</v>
      </c>
      <c r="G168" s="6">
        <f>F168/INDEX('Revision Basis'!$B$5:$B$10,MATCH(B168,'Revision Basis'!$A$5:$A$10,0))</f>
        <v>17.7</v>
      </c>
      <c r="H168" s="6">
        <f>F168/INDEX('Revision Basis'!$C$5:$C$10,MATCH(B168,'Revision Basis'!$A$5:$A$10,0))</f>
        <v>4.7579715806435861</v>
      </c>
      <c r="I168" s="6">
        <f>F168/INDEX('Revision Basis'!$D$5:$D$10,MATCH(B168,'Revision Basis'!$A$5:$A$10,0))</f>
        <v>2.9639087452471484</v>
      </c>
      <c r="J168" s="4" t="s">
        <v>11</v>
      </c>
    </row>
    <row r="169" spans="1:10">
      <c r="A169" s="4" t="s">
        <v>40</v>
      </c>
      <c r="B169" s="5">
        <v>2026</v>
      </c>
      <c r="C169" s="6">
        <v>885</v>
      </c>
      <c r="D169" s="6">
        <v>1062</v>
      </c>
      <c r="E169" s="6">
        <v>0.65</v>
      </c>
      <c r="F169" s="6">
        <f t="shared" si="2"/>
        <v>1000.05</v>
      </c>
      <c r="G169" s="6">
        <f>F169/INDEX('Revision Basis'!$B$5:$B$10,MATCH(B169,'Revision Basis'!$A$5:$A$10,0))</f>
        <v>17.7</v>
      </c>
      <c r="H169" s="6">
        <f>F169/INDEX('Revision Basis'!$C$5:$C$10,MATCH(B169,'Revision Basis'!$A$5:$A$10,0))</f>
        <v>4.758064516129032</v>
      </c>
      <c r="I169" s="6">
        <f>F169/INDEX('Revision Basis'!$D$5:$D$10,MATCH(B169,'Revision Basis'!$A$5:$A$10,0))</f>
        <v>3.0723502304147465</v>
      </c>
      <c r="J169" s="4" t="s">
        <v>11</v>
      </c>
    </row>
    <row r="170" spans="1:10">
      <c r="A170" s="4" t="s">
        <v>41</v>
      </c>
      <c r="B170" s="5">
        <v>2021</v>
      </c>
      <c r="C170" s="6">
        <v>194.7</v>
      </c>
      <c r="D170" s="6">
        <v>247.8</v>
      </c>
      <c r="E170" s="6">
        <v>0.65</v>
      </c>
      <c r="F170" s="6">
        <f t="shared" si="2"/>
        <v>229.215</v>
      </c>
      <c r="G170" s="6">
        <f>F170/INDEX('Revision Basis'!$B$5:$B$10,MATCH(B170,'Revision Basis'!$A$5:$A$10,0))</f>
        <v>3.54</v>
      </c>
      <c r="H170" s="6">
        <f>F170/INDEX('Revision Basis'!$C$5:$C$10,MATCH(B170,'Revision Basis'!$A$5:$A$10,0))</f>
        <v>0.95161290322580649</v>
      </c>
      <c r="I170" s="6">
        <f>F170/INDEX('Revision Basis'!$D$5:$D$10,MATCH(B170,'Revision Basis'!$A$5:$A$10,0))</f>
        <v>0.81281914893617024</v>
      </c>
      <c r="J170" s="4" t="s">
        <v>11</v>
      </c>
    </row>
    <row r="171" spans="1:10">
      <c r="A171" s="4" t="s">
        <v>41</v>
      </c>
      <c r="B171" s="5">
        <v>2022</v>
      </c>
      <c r="C171" s="6">
        <v>191.16</v>
      </c>
      <c r="D171" s="6">
        <v>283.2</v>
      </c>
      <c r="E171" s="6">
        <v>0.65</v>
      </c>
      <c r="F171" s="6">
        <f t="shared" si="2"/>
        <v>250.98599999999999</v>
      </c>
      <c r="G171" s="6">
        <f>F171/INDEX('Revision Basis'!$B$5:$B$10,MATCH(B171,'Revision Basis'!$A$5:$A$10,0))</f>
        <v>3.5399999999999996</v>
      </c>
      <c r="H171" s="6">
        <f>F171/INDEX('Revision Basis'!$C$5:$C$10,MATCH(B171,'Revision Basis'!$A$5:$A$10,0))</f>
        <v>0.95160568720379146</v>
      </c>
      <c r="I171" s="6">
        <f>F171/INDEX('Revision Basis'!$D$5:$D$10,MATCH(B171,'Revision Basis'!$A$5:$A$10,0))</f>
        <v>0.64687113402061858</v>
      </c>
      <c r="J171" s="4" t="s">
        <v>11</v>
      </c>
    </row>
    <row r="172" spans="1:10">
      <c r="A172" s="4" t="s">
        <v>41</v>
      </c>
      <c r="B172" s="5">
        <v>2023</v>
      </c>
      <c r="C172" s="6">
        <v>166.38</v>
      </c>
      <c r="D172" s="6">
        <v>223.02</v>
      </c>
      <c r="E172" s="6">
        <v>0.65</v>
      </c>
      <c r="F172" s="6">
        <f t="shared" si="2"/>
        <v>203.196</v>
      </c>
      <c r="G172" s="6">
        <f>F172/INDEX('Revision Basis'!$B$5:$B$10,MATCH(B172,'Revision Basis'!$A$5:$A$10,0))</f>
        <v>3.54</v>
      </c>
      <c r="H172" s="6">
        <f>F172/INDEX('Revision Basis'!$C$5:$C$10,MATCH(B172,'Revision Basis'!$A$5:$A$10,0))</f>
        <v>0.95160399007165264</v>
      </c>
      <c r="I172" s="6">
        <f>F172/INDEX('Revision Basis'!$D$5:$D$10,MATCH(B172,'Revision Basis'!$A$5:$A$10,0))</f>
        <v>0.54696096904441449</v>
      </c>
      <c r="J172" s="4" t="s">
        <v>11</v>
      </c>
    </row>
    <row r="173" spans="1:10">
      <c r="A173" s="4" t="s">
        <v>41</v>
      </c>
      <c r="B173" s="5">
        <v>2024</v>
      </c>
      <c r="C173" s="6">
        <v>166.38</v>
      </c>
      <c r="D173" s="6">
        <v>194.7</v>
      </c>
      <c r="E173" s="6">
        <v>0.65</v>
      </c>
      <c r="F173" s="6">
        <f t="shared" si="2"/>
        <v>184.78799999999998</v>
      </c>
      <c r="G173" s="6">
        <f>F173/INDEX('Revision Basis'!$B$5:$B$10,MATCH(B173,'Revision Basis'!$A$5:$A$10,0))</f>
        <v>3.5399999999999996</v>
      </c>
      <c r="H173" s="6">
        <f>F173/INDEX('Revision Basis'!$C$5:$C$10,MATCH(B173,'Revision Basis'!$A$5:$A$10,0))</f>
        <v>0.95163250592233994</v>
      </c>
      <c r="I173" s="6">
        <f>F173/INDEX('Revision Basis'!$D$5:$D$10,MATCH(B173,'Revision Basis'!$A$5:$A$10,0))</f>
        <v>0.56252054794520545</v>
      </c>
      <c r="J173" s="4" t="s">
        <v>11</v>
      </c>
    </row>
    <row r="174" spans="1:10">
      <c r="A174" s="4" t="s">
        <v>41</v>
      </c>
      <c r="B174" s="5">
        <v>2025</v>
      </c>
      <c r="C174" s="6">
        <v>155.76</v>
      </c>
      <c r="D174" s="6">
        <v>215.94</v>
      </c>
      <c r="E174" s="6">
        <v>0.65</v>
      </c>
      <c r="F174" s="6">
        <f t="shared" si="2"/>
        <v>194.87700000000001</v>
      </c>
      <c r="G174" s="6">
        <f>F174/INDEX('Revision Basis'!$B$5:$B$10,MATCH(B174,'Revision Basis'!$A$5:$A$10,0))</f>
        <v>3.5400000000000005</v>
      </c>
      <c r="H174" s="6">
        <f>F174/INDEX('Revision Basis'!$C$5:$C$10,MATCH(B174,'Revision Basis'!$A$5:$A$10,0))</f>
        <v>0.95159431612871725</v>
      </c>
      <c r="I174" s="6">
        <f>F174/INDEX('Revision Basis'!$D$5:$D$10,MATCH(B174,'Revision Basis'!$A$5:$A$10,0))</f>
        <v>0.59278174904942971</v>
      </c>
      <c r="J174" s="4" t="s">
        <v>11</v>
      </c>
    </row>
    <row r="175" spans="1:10">
      <c r="A175" s="4" t="s">
        <v>41</v>
      </c>
      <c r="B175" s="5">
        <v>2026</v>
      </c>
      <c r="C175" s="6">
        <v>177</v>
      </c>
      <c r="D175" s="6">
        <v>212.4</v>
      </c>
      <c r="E175" s="6">
        <v>0.65</v>
      </c>
      <c r="F175" s="6">
        <f t="shared" si="2"/>
        <v>200.01</v>
      </c>
      <c r="G175" s="6">
        <f>F175/INDEX('Revision Basis'!$B$5:$B$10,MATCH(B175,'Revision Basis'!$A$5:$A$10,0))</f>
        <v>3.54</v>
      </c>
      <c r="H175" s="6">
        <f>F175/INDEX('Revision Basis'!$C$5:$C$10,MATCH(B175,'Revision Basis'!$A$5:$A$10,0))</f>
        <v>0.95161290322580638</v>
      </c>
      <c r="I175" s="6">
        <f>F175/INDEX('Revision Basis'!$D$5:$D$10,MATCH(B175,'Revision Basis'!$A$5:$A$10,0))</f>
        <v>0.61447004608294931</v>
      </c>
      <c r="J175" s="4" t="s">
        <v>11</v>
      </c>
    </row>
    <row r="176" spans="1:10">
      <c r="A176" s="4" t="s">
        <v>42</v>
      </c>
      <c r="B176" s="5">
        <v>2021</v>
      </c>
      <c r="C176" s="6">
        <v>486.75</v>
      </c>
      <c r="D176" s="6">
        <v>619.5</v>
      </c>
      <c r="E176" s="6">
        <v>0.65</v>
      </c>
      <c r="F176" s="6">
        <f t="shared" si="2"/>
        <v>573.03750000000002</v>
      </c>
      <c r="G176" s="6">
        <f>F176/INDEX('Revision Basis'!$B$5:$B$10,MATCH(B176,'Revision Basis'!$A$5:$A$10,0))</f>
        <v>8.85</v>
      </c>
      <c r="H176" s="6">
        <f>F176/INDEX('Revision Basis'!$C$5:$C$10,MATCH(B176,'Revision Basis'!$A$5:$A$10,0))</f>
        <v>2.379032258064516</v>
      </c>
      <c r="I176" s="6">
        <f>F176/INDEX('Revision Basis'!$D$5:$D$10,MATCH(B176,'Revision Basis'!$A$5:$A$10,0))</f>
        <v>2.0320478723404256</v>
      </c>
      <c r="J176" s="4" t="s">
        <v>11</v>
      </c>
    </row>
    <row r="177" spans="1:10">
      <c r="A177" s="4" t="s">
        <v>42</v>
      </c>
      <c r="B177" s="5">
        <v>2022</v>
      </c>
      <c r="C177" s="6">
        <v>477.9</v>
      </c>
      <c r="D177" s="6">
        <v>708</v>
      </c>
      <c r="E177" s="6">
        <v>0.65</v>
      </c>
      <c r="F177" s="6">
        <f t="shared" si="2"/>
        <v>627.46500000000003</v>
      </c>
      <c r="G177" s="6">
        <f>F177/INDEX('Revision Basis'!$B$5:$B$10,MATCH(B177,'Revision Basis'!$A$5:$A$10,0))</f>
        <v>8.85</v>
      </c>
      <c r="H177" s="6">
        <f>F177/INDEX('Revision Basis'!$C$5:$C$10,MATCH(B177,'Revision Basis'!$A$5:$A$10,0))</f>
        <v>2.3790142180094787</v>
      </c>
      <c r="I177" s="6">
        <f>F177/INDEX('Revision Basis'!$D$5:$D$10,MATCH(B177,'Revision Basis'!$A$5:$A$10,0))</f>
        <v>1.6171778350515464</v>
      </c>
      <c r="J177" s="4" t="s">
        <v>11</v>
      </c>
    </row>
    <row r="178" spans="1:10">
      <c r="A178" s="4" t="s">
        <v>42</v>
      </c>
      <c r="B178" s="5">
        <v>2023</v>
      </c>
      <c r="C178" s="6">
        <v>415.95</v>
      </c>
      <c r="D178" s="6">
        <v>557.54999999999995</v>
      </c>
      <c r="E178" s="6">
        <v>0.65</v>
      </c>
      <c r="F178" s="6">
        <f t="shared" si="2"/>
        <v>507.98999999999995</v>
      </c>
      <c r="G178" s="6">
        <f>F178/INDEX('Revision Basis'!$B$5:$B$10,MATCH(B178,'Revision Basis'!$A$5:$A$10,0))</f>
        <v>8.85</v>
      </c>
      <c r="H178" s="6">
        <f>F178/INDEX('Revision Basis'!$C$5:$C$10,MATCH(B178,'Revision Basis'!$A$5:$A$10,0))</f>
        <v>2.3790099751791316</v>
      </c>
      <c r="I178" s="6">
        <f>F178/INDEX('Revision Basis'!$D$5:$D$10,MATCH(B178,'Revision Basis'!$A$5:$A$10,0))</f>
        <v>1.3674024226110362</v>
      </c>
      <c r="J178" s="4" t="s">
        <v>11</v>
      </c>
    </row>
    <row r="179" spans="1:10">
      <c r="A179" s="4" t="s">
        <v>42</v>
      </c>
      <c r="B179" s="5">
        <v>2024</v>
      </c>
      <c r="C179" s="6">
        <v>415.95</v>
      </c>
      <c r="D179" s="6">
        <v>486.75</v>
      </c>
      <c r="E179" s="6">
        <v>0.65</v>
      </c>
      <c r="F179" s="6">
        <f t="shared" si="2"/>
        <v>461.97</v>
      </c>
      <c r="G179" s="6">
        <f>F179/INDEX('Revision Basis'!$B$5:$B$10,MATCH(B179,'Revision Basis'!$A$5:$A$10,0))</f>
        <v>8.85</v>
      </c>
      <c r="H179" s="6">
        <f>F179/INDEX('Revision Basis'!$C$5:$C$10,MATCH(B179,'Revision Basis'!$A$5:$A$10,0))</f>
        <v>2.3790812648058504</v>
      </c>
      <c r="I179" s="6">
        <f>F179/INDEX('Revision Basis'!$D$5:$D$10,MATCH(B179,'Revision Basis'!$A$5:$A$10,0))</f>
        <v>1.4063013698630138</v>
      </c>
      <c r="J179" s="4" t="s">
        <v>11</v>
      </c>
    </row>
    <row r="180" spans="1:10">
      <c r="A180" s="4" t="s">
        <v>42</v>
      </c>
      <c r="B180" s="5">
        <v>2025</v>
      </c>
      <c r="C180" s="6">
        <v>389.4</v>
      </c>
      <c r="D180" s="6">
        <v>539.85</v>
      </c>
      <c r="E180" s="6">
        <v>0.65</v>
      </c>
      <c r="F180" s="6">
        <f t="shared" si="2"/>
        <v>487.1925</v>
      </c>
      <c r="G180" s="6">
        <f>F180/INDEX('Revision Basis'!$B$5:$B$10,MATCH(B180,'Revision Basis'!$A$5:$A$10,0))</f>
        <v>8.85</v>
      </c>
      <c r="H180" s="6">
        <f>F180/INDEX('Revision Basis'!$C$5:$C$10,MATCH(B180,'Revision Basis'!$A$5:$A$10,0))</f>
        <v>2.378985790321793</v>
      </c>
      <c r="I180" s="6">
        <f>F180/INDEX('Revision Basis'!$D$5:$D$10,MATCH(B180,'Revision Basis'!$A$5:$A$10,0))</f>
        <v>1.4819543726235742</v>
      </c>
      <c r="J180" s="4" t="s">
        <v>11</v>
      </c>
    </row>
    <row r="181" spans="1:10">
      <c r="A181" s="4" t="s">
        <v>42</v>
      </c>
      <c r="B181" s="5">
        <v>2026</v>
      </c>
      <c r="C181" s="6">
        <v>442.5</v>
      </c>
      <c r="D181" s="6">
        <v>531</v>
      </c>
      <c r="E181" s="6">
        <v>0.65</v>
      </c>
      <c r="F181" s="6">
        <f t="shared" si="2"/>
        <v>500.02499999999998</v>
      </c>
      <c r="G181" s="6">
        <f>F181/INDEX('Revision Basis'!$B$5:$B$10,MATCH(B181,'Revision Basis'!$A$5:$A$10,0))</f>
        <v>8.85</v>
      </c>
      <c r="H181" s="6">
        <f>F181/INDEX('Revision Basis'!$C$5:$C$10,MATCH(B181,'Revision Basis'!$A$5:$A$10,0))</f>
        <v>2.379032258064516</v>
      </c>
      <c r="I181" s="6">
        <f>F181/INDEX('Revision Basis'!$D$5:$D$10,MATCH(B181,'Revision Basis'!$A$5:$A$10,0))</f>
        <v>1.5361751152073733</v>
      </c>
      <c r="J181" s="4" t="s">
        <v>11</v>
      </c>
    </row>
    <row r="182" spans="1:10">
      <c r="A182" s="4" t="s">
        <v>43</v>
      </c>
      <c r="B182" s="5">
        <v>2021</v>
      </c>
      <c r="C182" s="6">
        <v>535.15</v>
      </c>
      <c r="D182" s="6">
        <v>681.1</v>
      </c>
      <c r="E182" s="6">
        <v>0.65</v>
      </c>
      <c r="F182" s="6">
        <f t="shared" si="2"/>
        <v>630.01750000000004</v>
      </c>
      <c r="G182" s="6">
        <f>F182/INDEX('Revision Basis'!$B$5:$B$10,MATCH(B182,'Revision Basis'!$A$5:$A$10,0))</f>
        <v>9.73</v>
      </c>
      <c r="H182" s="6">
        <f>F182/INDEX('Revision Basis'!$C$5:$C$10,MATCH(B182,'Revision Basis'!$A$5:$A$10,0))</f>
        <v>2.6155913978494625</v>
      </c>
      <c r="I182" s="6">
        <f>F182/INDEX('Revision Basis'!$D$5:$D$10,MATCH(B182,'Revision Basis'!$A$5:$A$10,0))</f>
        <v>2.2341046099290782</v>
      </c>
      <c r="J182" s="4" t="s">
        <v>11</v>
      </c>
    </row>
    <row r="183" spans="1:10">
      <c r="A183" s="4" t="s">
        <v>43</v>
      </c>
      <c r="B183" s="5">
        <v>2022</v>
      </c>
      <c r="C183" s="6">
        <v>525.41999999999996</v>
      </c>
      <c r="D183" s="6">
        <v>778.4</v>
      </c>
      <c r="E183" s="6">
        <v>0.65</v>
      </c>
      <c r="F183" s="6">
        <f t="shared" si="2"/>
        <v>689.85699999999997</v>
      </c>
      <c r="G183" s="6">
        <f>F183/INDEX('Revision Basis'!$B$5:$B$10,MATCH(B183,'Revision Basis'!$A$5:$A$10,0))</f>
        <v>9.7299999999999986</v>
      </c>
      <c r="H183" s="6">
        <f>F183/INDEX('Revision Basis'!$C$5:$C$10,MATCH(B183,'Revision Basis'!$A$5:$A$10,0))</f>
        <v>2.6155715639810424</v>
      </c>
      <c r="I183" s="6">
        <f>F183/INDEX('Revision Basis'!$D$5:$D$10,MATCH(B183,'Revision Basis'!$A$5:$A$10,0))</f>
        <v>1.7779819587628864</v>
      </c>
      <c r="J183" s="4" t="s">
        <v>11</v>
      </c>
    </row>
    <row r="184" spans="1:10">
      <c r="A184" s="4" t="s">
        <v>43</v>
      </c>
      <c r="B184" s="5">
        <v>2023</v>
      </c>
      <c r="C184" s="6">
        <v>457.31</v>
      </c>
      <c r="D184" s="6">
        <v>612.99</v>
      </c>
      <c r="E184" s="6">
        <v>0.65</v>
      </c>
      <c r="F184" s="6">
        <f t="shared" si="2"/>
        <v>558.50199999999995</v>
      </c>
      <c r="G184" s="6">
        <f>F184/INDEX('Revision Basis'!$B$5:$B$10,MATCH(B184,'Revision Basis'!$A$5:$A$10,0))</f>
        <v>9.7299999999999986</v>
      </c>
      <c r="H184" s="6">
        <f>F184/INDEX('Revision Basis'!$C$5:$C$10,MATCH(B184,'Revision Basis'!$A$5:$A$10,0))</f>
        <v>2.6155668992647403</v>
      </c>
      <c r="I184" s="6">
        <f>F184/INDEX('Revision Basis'!$D$5:$D$10,MATCH(B184,'Revision Basis'!$A$5:$A$10,0))</f>
        <v>1.5033701211305517</v>
      </c>
      <c r="J184" s="4" t="s">
        <v>11</v>
      </c>
    </row>
    <row r="185" spans="1:10">
      <c r="A185" s="4" t="s">
        <v>43</v>
      </c>
      <c r="B185" s="5">
        <v>2024</v>
      </c>
      <c r="C185" s="6">
        <v>457.31</v>
      </c>
      <c r="D185" s="6">
        <v>535.15</v>
      </c>
      <c r="E185" s="6">
        <v>0.65</v>
      </c>
      <c r="F185" s="6">
        <f t="shared" si="2"/>
        <v>507.90600000000001</v>
      </c>
      <c r="G185" s="6">
        <f>F185/INDEX('Revision Basis'!$B$5:$B$10,MATCH(B185,'Revision Basis'!$A$5:$A$10,0))</f>
        <v>9.73</v>
      </c>
      <c r="H185" s="6">
        <f>F185/INDEX('Revision Basis'!$C$5:$C$10,MATCH(B185,'Revision Basis'!$A$5:$A$10,0))</f>
        <v>2.6156452775775052</v>
      </c>
      <c r="I185" s="6">
        <f>F185/INDEX('Revision Basis'!$D$5:$D$10,MATCH(B185,'Revision Basis'!$A$5:$A$10,0))</f>
        <v>1.5461369863013699</v>
      </c>
      <c r="J185" s="4" t="s">
        <v>11</v>
      </c>
    </row>
    <row r="186" spans="1:10">
      <c r="A186" s="4" t="s">
        <v>43</v>
      </c>
      <c r="B186" s="5">
        <v>2025</v>
      </c>
      <c r="C186" s="6">
        <v>428.12</v>
      </c>
      <c r="D186" s="6">
        <v>593.53</v>
      </c>
      <c r="E186" s="6">
        <v>0.65</v>
      </c>
      <c r="F186" s="6">
        <f t="shared" si="2"/>
        <v>535.63649999999996</v>
      </c>
      <c r="G186" s="6">
        <f>F186/INDEX('Revision Basis'!$B$5:$B$10,MATCH(B186,'Revision Basis'!$A$5:$A$10,0))</f>
        <v>9.73</v>
      </c>
      <c r="H186" s="6">
        <f>F186/INDEX('Revision Basis'!$C$5:$C$10,MATCH(B186,'Revision Basis'!$A$5:$A$10,0))</f>
        <v>2.615540309585429</v>
      </c>
      <c r="I186" s="6">
        <f>F186/INDEX('Revision Basis'!$D$5:$D$10,MATCH(B186,'Revision Basis'!$A$5:$A$10,0))</f>
        <v>1.6293125475285171</v>
      </c>
      <c r="J186" s="4" t="s">
        <v>11</v>
      </c>
    </row>
    <row r="187" spans="1:10">
      <c r="A187" s="4" t="s">
        <v>43</v>
      </c>
      <c r="B187" s="5">
        <v>2026</v>
      </c>
      <c r="C187" s="6">
        <v>486.5</v>
      </c>
      <c r="D187" s="6">
        <v>583.79999999999995</v>
      </c>
      <c r="E187" s="6">
        <v>0.65</v>
      </c>
      <c r="F187" s="6">
        <f t="shared" si="2"/>
        <v>549.745</v>
      </c>
      <c r="G187" s="6">
        <f>F187/INDEX('Revision Basis'!$B$5:$B$10,MATCH(B187,'Revision Basis'!$A$5:$A$10,0))</f>
        <v>9.73</v>
      </c>
      <c r="H187" s="6">
        <f>F187/INDEX('Revision Basis'!$C$5:$C$10,MATCH(B187,'Revision Basis'!$A$5:$A$10,0))</f>
        <v>2.6155913978494625</v>
      </c>
      <c r="I187" s="6">
        <f>F187/INDEX('Revision Basis'!$D$5:$D$10,MATCH(B187,'Revision Basis'!$A$5:$A$10,0))</f>
        <v>1.6889247311827957</v>
      </c>
      <c r="J187" s="4" t="s">
        <v>11</v>
      </c>
    </row>
    <row r="188" spans="1:10">
      <c r="A188" s="4" t="s">
        <v>44</v>
      </c>
      <c r="B188" s="5">
        <v>2021</v>
      </c>
      <c r="C188" s="6">
        <v>705.65</v>
      </c>
      <c r="D188" s="6">
        <v>898.1</v>
      </c>
      <c r="E188" s="6">
        <v>0.65</v>
      </c>
      <c r="F188" s="6">
        <f t="shared" si="2"/>
        <v>830.74250000000006</v>
      </c>
      <c r="G188" s="6">
        <f>F188/INDEX('Revision Basis'!$B$5:$B$10,MATCH(B188,'Revision Basis'!$A$5:$A$10,0))</f>
        <v>12.830000000000002</v>
      </c>
      <c r="H188" s="6">
        <f>F188/INDEX('Revision Basis'!$C$5:$C$10,MATCH(B188,'Revision Basis'!$A$5:$A$10,0))</f>
        <v>3.448924731182796</v>
      </c>
      <c r="I188" s="6">
        <f>F188/INDEX('Revision Basis'!$D$5:$D$10,MATCH(B188,'Revision Basis'!$A$5:$A$10,0))</f>
        <v>2.9458953900709224</v>
      </c>
      <c r="J188" s="4" t="s">
        <v>11</v>
      </c>
    </row>
    <row r="189" spans="1:10">
      <c r="A189" s="4" t="s">
        <v>44</v>
      </c>
      <c r="B189" s="5">
        <v>2022</v>
      </c>
      <c r="C189" s="6">
        <v>692.82</v>
      </c>
      <c r="D189" s="6">
        <v>1026.4000000000001</v>
      </c>
      <c r="E189" s="6">
        <v>0.65</v>
      </c>
      <c r="F189" s="6">
        <f t="shared" si="2"/>
        <v>909.64700000000005</v>
      </c>
      <c r="G189" s="6">
        <f>F189/INDEX('Revision Basis'!$B$5:$B$10,MATCH(B189,'Revision Basis'!$A$5:$A$10,0))</f>
        <v>12.83</v>
      </c>
      <c r="H189" s="6">
        <f>F189/INDEX('Revision Basis'!$C$5:$C$10,MATCH(B189,'Revision Basis'!$A$5:$A$10,0))</f>
        <v>3.4488985781990524</v>
      </c>
      <c r="I189" s="6">
        <f>F189/INDEX('Revision Basis'!$D$5:$D$10,MATCH(B189,'Revision Basis'!$A$5:$A$10,0))</f>
        <v>2.3444510309278352</v>
      </c>
      <c r="J189" s="4" t="s">
        <v>11</v>
      </c>
    </row>
    <row r="190" spans="1:10">
      <c r="A190" s="4" t="s">
        <v>44</v>
      </c>
      <c r="B190" s="5">
        <v>2023</v>
      </c>
      <c r="C190" s="6">
        <v>603.01</v>
      </c>
      <c r="D190" s="6">
        <v>808.29</v>
      </c>
      <c r="E190" s="6">
        <v>0.65</v>
      </c>
      <c r="F190" s="6">
        <f t="shared" si="2"/>
        <v>736.44200000000001</v>
      </c>
      <c r="G190" s="6">
        <f>F190/INDEX('Revision Basis'!$B$5:$B$10,MATCH(B190,'Revision Basis'!$A$5:$A$10,0))</f>
        <v>12.83</v>
      </c>
      <c r="H190" s="6">
        <f>F190/INDEX('Revision Basis'!$C$5:$C$10,MATCH(B190,'Revision Basis'!$A$5:$A$10,0))</f>
        <v>3.4488924272935888</v>
      </c>
      <c r="I190" s="6">
        <f>F190/INDEX('Revision Basis'!$D$5:$D$10,MATCH(B190,'Revision Basis'!$A$5:$A$10,0))</f>
        <v>1.9823472409152085</v>
      </c>
      <c r="J190" s="4" t="s">
        <v>11</v>
      </c>
    </row>
    <row r="191" spans="1:10">
      <c r="A191" s="4" t="s">
        <v>44</v>
      </c>
      <c r="B191" s="5">
        <v>2024</v>
      </c>
      <c r="C191" s="6">
        <v>603.01</v>
      </c>
      <c r="D191" s="6">
        <v>705.65</v>
      </c>
      <c r="E191" s="6">
        <v>0.65</v>
      </c>
      <c r="F191" s="6">
        <f t="shared" si="2"/>
        <v>669.726</v>
      </c>
      <c r="G191" s="6">
        <f>F191/INDEX('Revision Basis'!$B$5:$B$10,MATCH(B191,'Revision Basis'!$A$5:$A$10,0))</f>
        <v>12.83</v>
      </c>
      <c r="H191" s="6">
        <f>F191/INDEX('Revision Basis'!$C$5:$C$10,MATCH(B191,'Revision Basis'!$A$5:$A$10,0))</f>
        <v>3.4489957771140176</v>
      </c>
      <c r="I191" s="6">
        <f>F191/INDEX('Revision Basis'!$D$5:$D$10,MATCH(B191,'Revision Basis'!$A$5:$A$10,0))</f>
        <v>2.0387397260273974</v>
      </c>
      <c r="J191" s="4" t="s">
        <v>11</v>
      </c>
    </row>
    <row r="192" spans="1:10">
      <c r="A192" s="4" t="s">
        <v>44</v>
      </c>
      <c r="B192" s="5">
        <v>2025</v>
      </c>
      <c r="C192" s="6">
        <v>564.52</v>
      </c>
      <c r="D192" s="6">
        <v>782.63</v>
      </c>
      <c r="E192" s="6">
        <v>0.65</v>
      </c>
      <c r="F192" s="6">
        <f t="shared" si="2"/>
        <v>706.29150000000004</v>
      </c>
      <c r="G192" s="6">
        <f>F192/INDEX('Revision Basis'!$B$5:$B$10,MATCH(B192,'Revision Basis'!$A$5:$A$10,0))</f>
        <v>12.830000000000002</v>
      </c>
      <c r="H192" s="6">
        <f>F192/INDEX('Revision Basis'!$C$5:$C$10,MATCH(B192,'Revision Basis'!$A$5:$A$10,0))</f>
        <v>3.4488573660823287</v>
      </c>
      <c r="I192" s="6">
        <f>F192/INDEX('Revision Basis'!$D$5:$D$10,MATCH(B192,'Revision Basis'!$A$5:$A$10,0))</f>
        <v>2.1484152091254756</v>
      </c>
      <c r="J192" s="4" t="s">
        <v>11</v>
      </c>
    </row>
    <row r="193" spans="1:10">
      <c r="A193" s="4" t="s">
        <v>44</v>
      </c>
      <c r="B193" s="5">
        <v>2026</v>
      </c>
      <c r="C193" s="6">
        <v>641.5</v>
      </c>
      <c r="D193" s="6">
        <v>769.8</v>
      </c>
      <c r="E193" s="6">
        <v>0.65</v>
      </c>
      <c r="F193" s="6">
        <f t="shared" si="2"/>
        <v>724.89499999999998</v>
      </c>
      <c r="G193" s="6">
        <f>F193/INDEX('Revision Basis'!$B$5:$B$10,MATCH(B193,'Revision Basis'!$A$5:$A$10,0))</f>
        <v>12.83</v>
      </c>
      <c r="H193" s="6">
        <f>F193/INDEX('Revision Basis'!$C$5:$C$10,MATCH(B193,'Revision Basis'!$A$5:$A$10,0))</f>
        <v>3.4489247311827955</v>
      </c>
      <c r="I193" s="6">
        <f>F193/INDEX('Revision Basis'!$D$5:$D$10,MATCH(B193,'Revision Basis'!$A$5:$A$10,0))</f>
        <v>2.2270199692780337</v>
      </c>
      <c r="J193" s="4" t="s">
        <v>11</v>
      </c>
    </row>
    <row r="194" spans="1:10">
      <c r="A194" s="4" t="s">
        <v>45</v>
      </c>
      <c r="B194" s="5">
        <v>2021</v>
      </c>
      <c r="C194" s="6">
        <v>876.15</v>
      </c>
      <c r="D194" s="6">
        <v>1115.0999999999999</v>
      </c>
      <c r="E194" s="6">
        <v>0.65</v>
      </c>
      <c r="F194" s="6">
        <f t="shared" ref="F194:F257" si="3">C194+(D194-C194)*E194</f>
        <v>1031.4675</v>
      </c>
      <c r="G194" s="6">
        <f>F194/INDEX('Revision Basis'!$B$5:$B$10,MATCH(B194,'Revision Basis'!$A$5:$A$10,0))</f>
        <v>15.93</v>
      </c>
      <c r="H194" s="6">
        <f>F194/INDEX('Revision Basis'!$C$5:$C$10,MATCH(B194,'Revision Basis'!$A$5:$A$10,0))</f>
        <v>4.282258064516129</v>
      </c>
      <c r="I194" s="6">
        <f>F194/INDEX('Revision Basis'!$D$5:$D$10,MATCH(B194,'Revision Basis'!$A$5:$A$10,0))</f>
        <v>3.6576861702127657</v>
      </c>
      <c r="J194" s="4" t="s">
        <v>11</v>
      </c>
    </row>
    <row r="195" spans="1:10">
      <c r="A195" s="4" t="s">
        <v>45</v>
      </c>
      <c r="B195" s="5">
        <v>2022</v>
      </c>
      <c r="C195" s="6">
        <v>860.22</v>
      </c>
      <c r="D195" s="6">
        <v>1274.4000000000001</v>
      </c>
      <c r="E195" s="6">
        <v>0.65</v>
      </c>
      <c r="F195" s="6">
        <f t="shared" si="3"/>
        <v>1129.4370000000001</v>
      </c>
      <c r="G195" s="6">
        <f>F195/INDEX('Revision Basis'!$B$5:$B$10,MATCH(B195,'Revision Basis'!$A$5:$A$10,0))</f>
        <v>15.93</v>
      </c>
      <c r="H195" s="6">
        <f>F195/INDEX('Revision Basis'!$C$5:$C$10,MATCH(B195,'Revision Basis'!$A$5:$A$10,0))</f>
        <v>4.2822255924170625</v>
      </c>
      <c r="I195" s="6">
        <f>F195/INDEX('Revision Basis'!$D$5:$D$10,MATCH(B195,'Revision Basis'!$A$5:$A$10,0))</f>
        <v>2.910920103092784</v>
      </c>
      <c r="J195" s="4" t="s">
        <v>11</v>
      </c>
    </row>
    <row r="196" spans="1:10">
      <c r="A196" s="4" t="s">
        <v>45</v>
      </c>
      <c r="B196" s="5">
        <v>2023</v>
      </c>
      <c r="C196" s="6">
        <v>748.71</v>
      </c>
      <c r="D196" s="6">
        <v>1003.59</v>
      </c>
      <c r="E196" s="6">
        <v>0.65</v>
      </c>
      <c r="F196" s="6">
        <f t="shared" si="3"/>
        <v>914.38200000000006</v>
      </c>
      <c r="G196" s="6">
        <f>F196/INDEX('Revision Basis'!$B$5:$B$10,MATCH(B196,'Revision Basis'!$A$5:$A$10,0))</f>
        <v>15.930000000000001</v>
      </c>
      <c r="H196" s="6">
        <f>F196/INDEX('Revision Basis'!$C$5:$C$10,MATCH(B196,'Revision Basis'!$A$5:$A$10,0))</f>
        <v>4.2822179553224373</v>
      </c>
      <c r="I196" s="6">
        <f>F196/INDEX('Revision Basis'!$D$5:$D$10,MATCH(B196,'Revision Basis'!$A$5:$A$10,0))</f>
        <v>2.4613243606998654</v>
      </c>
      <c r="J196" s="4" t="s">
        <v>11</v>
      </c>
    </row>
    <row r="197" spans="1:10">
      <c r="A197" s="4" t="s">
        <v>45</v>
      </c>
      <c r="B197" s="5">
        <v>2024</v>
      </c>
      <c r="C197" s="6">
        <v>748.71</v>
      </c>
      <c r="D197" s="6">
        <v>876.15</v>
      </c>
      <c r="E197" s="6">
        <v>0.65</v>
      </c>
      <c r="F197" s="6">
        <f t="shared" si="3"/>
        <v>831.54600000000005</v>
      </c>
      <c r="G197" s="6">
        <f>F197/INDEX('Revision Basis'!$B$5:$B$10,MATCH(B197,'Revision Basis'!$A$5:$A$10,0))</f>
        <v>15.93</v>
      </c>
      <c r="H197" s="6">
        <f>F197/INDEX('Revision Basis'!$C$5:$C$10,MATCH(B197,'Revision Basis'!$A$5:$A$10,0))</f>
        <v>4.2823462766505305</v>
      </c>
      <c r="I197" s="6">
        <f>F197/INDEX('Revision Basis'!$D$5:$D$10,MATCH(B197,'Revision Basis'!$A$5:$A$10,0))</f>
        <v>2.5313424657534247</v>
      </c>
      <c r="J197" s="4" t="s">
        <v>11</v>
      </c>
    </row>
    <row r="198" spans="1:10">
      <c r="A198" s="4" t="s">
        <v>45</v>
      </c>
      <c r="B198" s="5">
        <v>2025</v>
      </c>
      <c r="C198" s="6">
        <v>700.92</v>
      </c>
      <c r="D198" s="6">
        <v>971.73</v>
      </c>
      <c r="E198" s="6">
        <v>0.65</v>
      </c>
      <c r="F198" s="6">
        <f t="shared" si="3"/>
        <v>876.94650000000001</v>
      </c>
      <c r="G198" s="6">
        <f>F198/INDEX('Revision Basis'!$B$5:$B$10,MATCH(B198,'Revision Basis'!$A$5:$A$10,0))</f>
        <v>15.930000000000001</v>
      </c>
      <c r="H198" s="6">
        <f>F198/INDEX('Revision Basis'!$C$5:$C$10,MATCH(B198,'Revision Basis'!$A$5:$A$10,0))</f>
        <v>4.282174422579228</v>
      </c>
      <c r="I198" s="6">
        <f>F198/INDEX('Revision Basis'!$D$5:$D$10,MATCH(B198,'Revision Basis'!$A$5:$A$10,0))</f>
        <v>2.6675178707224334</v>
      </c>
      <c r="J198" s="4" t="s">
        <v>11</v>
      </c>
    </row>
    <row r="199" spans="1:10">
      <c r="A199" s="4" t="s">
        <v>45</v>
      </c>
      <c r="B199" s="5">
        <v>2026</v>
      </c>
      <c r="C199" s="6">
        <v>796.5</v>
      </c>
      <c r="D199" s="6">
        <v>955.8</v>
      </c>
      <c r="E199" s="6">
        <v>0.65</v>
      </c>
      <c r="F199" s="6">
        <f t="shared" si="3"/>
        <v>900.04499999999996</v>
      </c>
      <c r="G199" s="6">
        <f>F199/INDEX('Revision Basis'!$B$5:$B$10,MATCH(B199,'Revision Basis'!$A$5:$A$10,0))</f>
        <v>15.93</v>
      </c>
      <c r="H199" s="6">
        <f>F199/INDEX('Revision Basis'!$C$5:$C$10,MATCH(B199,'Revision Basis'!$A$5:$A$10,0))</f>
        <v>4.282258064516129</v>
      </c>
      <c r="I199" s="6">
        <f>F199/INDEX('Revision Basis'!$D$5:$D$10,MATCH(B199,'Revision Basis'!$A$5:$A$10,0))</f>
        <v>2.7651152073732717</v>
      </c>
      <c r="J199" s="4" t="s">
        <v>11</v>
      </c>
    </row>
    <row r="200" spans="1:10">
      <c r="A200" s="4" t="s">
        <v>46</v>
      </c>
      <c r="B200" s="5">
        <v>2021</v>
      </c>
      <c r="C200" s="6">
        <v>1265.55</v>
      </c>
      <c r="D200" s="6">
        <v>1610.7</v>
      </c>
      <c r="E200" s="6">
        <v>0.65</v>
      </c>
      <c r="F200" s="6">
        <f t="shared" si="3"/>
        <v>1489.8975</v>
      </c>
      <c r="G200" s="6">
        <f>F200/INDEX('Revision Basis'!$B$5:$B$10,MATCH(B200,'Revision Basis'!$A$5:$A$10,0))</f>
        <v>23.01</v>
      </c>
      <c r="H200" s="6">
        <f>F200/INDEX('Revision Basis'!$C$5:$C$10,MATCH(B200,'Revision Basis'!$A$5:$A$10,0))</f>
        <v>6.185483870967742</v>
      </c>
      <c r="I200" s="6">
        <f>F200/INDEX('Revision Basis'!$D$5:$D$10,MATCH(B200,'Revision Basis'!$A$5:$A$10,0))</f>
        <v>5.2833244680851061</v>
      </c>
      <c r="J200" s="4" t="s">
        <v>11</v>
      </c>
    </row>
    <row r="201" spans="1:10">
      <c r="A201" s="4" t="s">
        <v>46</v>
      </c>
      <c r="B201" s="5">
        <v>2022</v>
      </c>
      <c r="C201" s="6">
        <v>1242.54</v>
      </c>
      <c r="D201" s="6">
        <v>1840.8</v>
      </c>
      <c r="E201" s="6">
        <v>0.65</v>
      </c>
      <c r="F201" s="6">
        <f t="shared" si="3"/>
        <v>1631.4090000000001</v>
      </c>
      <c r="G201" s="6">
        <f>F201/INDEX('Revision Basis'!$B$5:$B$10,MATCH(B201,'Revision Basis'!$A$5:$A$10,0))</f>
        <v>23.009999999999998</v>
      </c>
      <c r="H201" s="6">
        <f>F201/INDEX('Revision Basis'!$C$5:$C$10,MATCH(B201,'Revision Basis'!$A$5:$A$10,0))</f>
        <v>6.1854369668246454</v>
      </c>
      <c r="I201" s="6">
        <f>F201/INDEX('Revision Basis'!$D$5:$D$10,MATCH(B201,'Revision Basis'!$A$5:$A$10,0))</f>
        <v>4.2046623711340212</v>
      </c>
      <c r="J201" s="4" t="s">
        <v>11</v>
      </c>
    </row>
    <row r="202" spans="1:10">
      <c r="A202" s="4" t="s">
        <v>46</v>
      </c>
      <c r="B202" s="5">
        <v>2023</v>
      </c>
      <c r="C202" s="6">
        <v>1081.47</v>
      </c>
      <c r="D202" s="6">
        <v>1449.63</v>
      </c>
      <c r="E202" s="6">
        <v>0.65</v>
      </c>
      <c r="F202" s="6">
        <f t="shared" si="3"/>
        <v>1320.7740000000001</v>
      </c>
      <c r="G202" s="6">
        <f>F202/INDEX('Revision Basis'!$B$5:$B$10,MATCH(B202,'Revision Basis'!$A$5:$A$10,0))</f>
        <v>23.01</v>
      </c>
      <c r="H202" s="6">
        <f>F202/INDEX('Revision Basis'!$C$5:$C$10,MATCH(B202,'Revision Basis'!$A$5:$A$10,0))</f>
        <v>6.1854259354657426</v>
      </c>
      <c r="I202" s="6">
        <f>F202/INDEX('Revision Basis'!$D$5:$D$10,MATCH(B202,'Revision Basis'!$A$5:$A$10,0))</f>
        <v>3.5552462987886946</v>
      </c>
      <c r="J202" s="4" t="s">
        <v>11</v>
      </c>
    </row>
    <row r="203" spans="1:10">
      <c r="A203" s="4" t="s">
        <v>46</v>
      </c>
      <c r="B203" s="5">
        <v>2024</v>
      </c>
      <c r="C203" s="6">
        <v>1081.47</v>
      </c>
      <c r="D203" s="6">
        <v>1265.55</v>
      </c>
      <c r="E203" s="6">
        <v>0.65</v>
      </c>
      <c r="F203" s="6">
        <f t="shared" si="3"/>
        <v>1201.1220000000001</v>
      </c>
      <c r="G203" s="6">
        <f>F203/INDEX('Revision Basis'!$B$5:$B$10,MATCH(B203,'Revision Basis'!$A$5:$A$10,0))</f>
        <v>23.01</v>
      </c>
      <c r="H203" s="6">
        <f>F203/INDEX('Revision Basis'!$C$5:$C$10,MATCH(B203,'Revision Basis'!$A$5:$A$10,0))</f>
        <v>6.1856112884952106</v>
      </c>
      <c r="I203" s="6">
        <f>F203/INDEX('Revision Basis'!$D$5:$D$10,MATCH(B203,'Revision Basis'!$A$5:$A$10,0))</f>
        <v>3.6563835616438358</v>
      </c>
      <c r="J203" s="4" t="s">
        <v>11</v>
      </c>
    </row>
    <row r="204" spans="1:10">
      <c r="A204" s="4" t="s">
        <v>46</v>
      </c>
      <c r="B204" s="5">
        <v>2025</v>
      </c>
      <c r="C204" s="6">
        <v>1012.44</v>
      </c>
      <c r="D204" s="6">
        <v>1403.61</v>
      </c>
      <c r="E204" s="6">
        <v>0.65</v>
      </c>
      <c r="F204" s="6">
        <f t="shared" si="3"/>
        <v>1266.7004999999999</v>
      </c>
      <c r="G204" s="6">
        <f>F204/INDEX('Revision Basis'!$B$5:$B$10,MATCH(B204,'Revision Basis'!$A$5:$A$10,0))</f>
        <v>23.009999999999998</v>
      </c>
      <c r="H204" s="6">
        <f>F204/INDEX('Revision Basis'!$C$5:$C$10,MATCH(B204,'Revision Basis'!$A$5:$A$10,0))</f>
        <v>6.185363054836662</v>
      </c>
      <c r="I204" s="6">
        <f>F204/INDEX('Revision Basis'!$D$5:$D$10,MATCH(B204,'Revision Basis'!$A$5:$A$10,0))</f>
        <v>3.8530813688212926</v>
      </c>
      <c r="J204" s="4" t="s">
        <v>11</v>
      </c>
    </row>
    <row r="205" spans="1:10">
      <c r="A205" s="4" t="s">
        <v>46</v>
      </c>
      <c r="B205" s="5">
        <v>2026</v>
      </c>
      <c r="C205" s="6">
        <v>1150.5</v>
      </c>
      <c r="D205" s="6">
        <v>1380.6</v>
      </c>
      <c r="E205" s="6">
        <v>0.65</v>
      </c>
      <c r="F205" s="6">
        <f t="shared" si="3"/>
        <v>1300.0650000000001</v>
      </c>
      <c r="G205" s="6">
        <f>F205/INDEX('Revision Basis'!$B$5:$B$10,MATCH(B205,'Revision Basis'!$A$5:$A$10,0))</f>
        <v>23.01</v>
      </c>
      <c r="H205" s="6">
        <f>F205/INDEX('Revision Basis'!$C$5:$C$10,MATCH(B205,'Revision Basis'!$A$5:$A$10,0))</f>
        <v>6.185483870967742</v>
      </c>
      <c r="I205" s="6">
        <f>F205/INDEX('Revision Basis'!$D$5:$D$10,MATCH(B205,'Revision Basis'!$A$5:$A$10,0))</f>
        <v>3.9940552995391707</v>
      </c>
      <c r="J205" s="4" t="s">
        <v>11</v>
      </c>
    </row>
    <row r="206" spans="1:10">
      <c r="A206" s="4" t="s">
        <v>47</v>
      </c>
      <c r="B206" s="5">
        <v>2021</v>
      </c>
      <c r="C206" s="6">
        <v>803</v>
      </c>
      <c r="D206" s="6">
        <v>1022</v>
      </c>
      <c r="E206" s="6">
        <v>0.65</v>
      </c>
      <c r="F206" s="6">
        <f t="shared" si="3"/>
        <v>945.35</v>
      </c>
      <c r="G206" s="6">
        <f>F206/INDEX('Revision Basis'!$B$5:$B$10,MATCH(B206,'Revision Basis'!$A$5:$A$10,0))</f>
        <v>14.6</v>
      </c>
      <c r="H206" s="6">
        <f>F206/INDEX('Revision Basis'!$C$5:$C$10,MATCH(B206,'Revision Basis'!$A$5:$A$10,0))</f>
        <v>3.924731182795699</v>
      </c>
      <c r="I206" s="6">
        <f>F206/INDEX('Revision Basis'!$D$5:$D$10,MATCH(B206,'Revision Basis'!$A$5:$A$10,0))</f>
        <v>3.3523049645390071</v>
      </c>
      <c r="J206" s="4" t="s">
        <v>11</v>
      </c>
    </row>
    <row r="207" spans="1:10">
      <c r="A207" s="4" t="s">
        <v>47</v>
      </c>
      <c r="B207" s="5">
        <v>2022</v>
      </c>
      <c r="C207" s="6">
        <v>788.4</v>
      </c>
      <c r="D207" s="6">
        <v>1168</v>
      </c>
      <c r="E207" s="6">
        <v>0.65</v>
      </c>
      <c r="F207" s="6">
        <f t="shared" si="3"/>
        <v>1035.1399999999999</v>
      </c>
      <c r="G207" s="6">
        <f>F207/INDEX('Revision Basis'!$B$5:$B$10,MATCH(B207,'Revision Basis'!$A$5:$A$10,0))</f>
        <v>14.599999999999998</v>
      </c>
      <c r="H207" s="6">
        <f>F207/INDEX('Revision Basis'!$C$5:$C$10,MATCH(B207,'Revision Basis'!$A$5:$A$10,0))</f>
        <v>3.9247014218009473</v>
      </c>
      <c r="I207" s="6">
        <f>F207/INDEX('Revision Basis'!$D$5:$D$10,MATCH(B207,'Revision Basis'!$A$5:$A$10,0))</f>
        <v>2.6678865979381441</v>
      </c>
      <c r="J207" s="4" t="s">
        <v>11</v>
      </c>
    </row>
    <row r="208" spans="1:10">
      <c r="A208" s="4" t="s">
        <v>47</v>
      </c>
      <c r="B208" s="5">
        <v>2023</v>
      </c>
      <c r="C208" s="6">
        <v>686.2</v>
      </c>
      <c r="D208" s="6">
        <v>919.8</v>
      </c>
      <c r="E208" s="6">
        <v>0.65</v>
      </c>
      <c r="F208" s="6">
        <f t="shared" si="3"/>
        <v>838.04</v>
      </c>
      <c r="G208" s="6">
        <f>F208/INDEX('Revision Basis'!$B$5:$B$10,MATCH(B208,'Revision Basis'!$A$5:$A$10,0))</f>
        <v>14.6</v>
      </c>
      <c r="H208" s="6">
        <f>F208/INDEX('Revision Basis'!$C$5:$C$10,MATCH(B208,'Revision Basis'!$A$5:$A$10,0))</f>
        <v>3.9246944223294147</v>
      </c>
      <c r="I208" s="6">
        <f>F208/INDEX('Revision Basis'!$D$5:$D$10,MATCH(B208,'Revision Basis'!$A$5:$A$10,0))</f>
        <v>2.2558277254374159</v>
      </c>
      <c r="J208" s="4" t="s">
        <v>11</v>
      </c>
    </row>
    <row r="209" spans="1:10">
      <c r="A209" s="4" t="s">
        <v>47</v>
      </c>
      <c r="B209" s="5">
        <v>2024</v>
      </c>
      <c r="C209" s="6">
        <v>686.2</v>
      </c>
      <c r="D209" s="6">
        <v>803</v>
      </c>
      <c r="E209" s="6">
        <v>0.65</v>
      </c>
      <c r="F209" s="6">
        <f t="shared" si="3"/>
        <v>762.12</v>
      </c>
      <c r="G209" s="6">
        <f>F209/INDEX('Revision Basis'!$B$5:$B$10,MATCH(B209,'Revision Basis'!$A$5:$A$10,0))</f>
        <v>14.6</v>
      </c>
      <c r="H209" s="6">
        <f>F209/INDEX('Revision Basis'!$C$5:$C$10,MATCH(B209,'Revision Basis'!$A$5:$A$10,0))</f>
        <v>3.9248120300751879</v>
      </c>
      <c r="I209" s="6">
        <f>F209/INDEX('Revision Basis'!$D$5:$D$10,MATCH(B209,'Revision Basis'!$A$5:$A$10,0))</f>
        <v>2.3199999999999998</v>
      </c>
      <c r="J209" s="4" t="s">
        <v>11</v>
      </c>
    </row>
    <row r="210" spans="1:10">
      <c r="A210" s="4" t="s">
        <v>47</v>
      </c>
      <c r="B210" s="5">
        <v>2025</v>
      </c>
      <c r="C210" s="6">
        <v>642.4</v>
      </c>
      <c r="D210" s="6">
        <v>890.6</v>
      </c>
      <c r="E210" s="6">
        <v>0.65</v>
      </c>
      <c r="F210" s="6">
        <f t="shared" si="3"/>
        <v>803.73</v>
      </c>
      <c r="G210" s="6">
        <f>F210/INDEX('Revision Basis'!$B$5:$B$10,MATCH(B210,'Revision Basis'!$A$5:$A$10,0))</f>
        <v>14.600000000000001</v>
      </c>
      <c r="H210" s="6">
        <f>F210/INDEX('Revision Basis'!$C$5:$C$10,MATCH(B210,'Revision Basis'!$A$5:$A$10,0))</f>
        <v>3.9246545241466873</v>
      </c>
      <c r="I210" s="6">
        <f>F210/INDEX('Revision Basis'!$D$5:$D$10,MATCH(B210,'Revision Basis'!$A$5:$A$10,0))</f>
        <v>2.4448060836501901</v>
      </c>
      <c r="J210" s="4" t="s">
        <v>11</v>
      </c>
    </row>
    <row r="211" spans="1:10">
      <c r="A211" s="4" t="s">
        <v>47</v>
      </c>
      <c r="B211" s="5">
        <v>2026</v>
      </c>
      <c r="C211" s="6">
        <v>730</v>
      </c>
      <c r="D211" s="6">
        <v>876</v>
      </c>
      <c r="E211" s="6">
        <v>0.65</v>
      </c>
      <c r="F211" s="6">
        <f t="shared" si="3"/>
        <v>824.9</v>
      </c>
      <c r="G211" s="6">
        <f>F211/INDEX('Revision Basis'!$B$5:$B$10,MATCH(B211,'Revision Basis'!$A$5:$A$10,0))</f>
        <v>14.6</v>
      </c>
      <c r="H211" s="6">
        <f>F211/INDEX('Revision Basis'!$C$5:$C$10,MATCH(B211,'Revision Basis'!$A$5:$A$10,0))</f>
        <v>3.9247311827956985</v>
      </c>
      <c r="I211" s="6">
        <f>F211/INDEX('Revision Basis'!$D$5:$D$10,MATCH(B211,'Revision Basis'!$A$5:$A$10,0))</f>
        <v>2.5342549923195086</v>
      </c>
      <c r="J211" s="4" t="s">
        <v>11</v>
      </c>
    </row>
    <row r="212" spans="1:10">
      <c r="A212" s="4" t="s">
        <v>48</v>
      </c>
      <c r="B212" s="5">
        <v>2021</v>
      </c>
      <c r="C212" s="6">
        <v>2336.4</v>
      </c>
      <c r="D212" s="6">
        <v>2973.6</v>
      </c>
      <c r="E212" s="6">
        <v>0.65</v>
      </c>
      <c r="F212" s="6">
        <f t="shared" si="3"/>
        <v>2750.58</v>
      </c>
      <c r="G212" s="6">
        <f>F212/INDEX('Revision Basis'!$B$5:$B$10,MATCH(B212,'Revision Basis'!$A$5:$A$10,0))</f>
        <v>42.48</v>
      </c>
      <c r="H212" s="6">
        <f>F212/INDEX('Revision Basis'!$C$5:$C$10,MATCH(B212,'Revision Basis'!$A$5:$A$10,0))</f>
        <v>11.419354838709676</v>
      </c>
      <c r="I212" s="6">
        <f>F212/INDEX('Revision Basis'!$D$5:$D$10,MATCH(B212,'Revision Basis'!$A$5:$A$10,0))</f>
        <v>9.7538297872340429</v>
      </c>
      <c r="J212" s="4" t="s">
        <v>11</v>
      </c>
    </row>
    <row r="213" spans="1:10">
      <c r="A213" s="4" t="s">
        <v>48</v>
      </c>
      <c r="B213" s="5">
        <v>2022</v>
      </c>
      <c r="C213" s="6">
        <v>2293.92</v>
      </c>
      <c r="D213" s="6">
        <v>3398.4</v>
      </c>
      <c r="E213" s="6">
        <v>0.65</v>
      </c>
      <c r="F213" s="6">
        <f t="shared" si="3"/>
        <v>3011.8320000000003</v>
      </c>
      <c r="G213" s="6">
        <f>F213/INDEX('Revision Basis'!$B$5:$B$10,MATCH(B213,'Revision Basis'!$A$5:$A$10,0))</f>
        <v>42.480000000000004</v>
      </c>
      <c r="H213" s="6">
        <f>F213/INDEX('Revision Basis'!$C$5:$C$10,MATCH(B213,'Revision Basis'!$A$5:$A$10,0))</f>
        <v>11.419268246445499</v>
      </c>
      <c r="I213" s="6">
        <f>F213/INDEX('Revision Basis'!$D$5:$D$10,MATCH(B213,'Revision Basis'!$A$5:$A$10,0))</f>
        <v>7.7624536082474238</v>
      </c>
      <c r="J213" s="4" t="s">
        <v>11</v>
      </c>
    </row>
    <row r="214" spans="1:10">
      <c r="A214" s="4" t="s">
        <v>48</v>
      </c>
      <c r="B214" s="5">
        <v>2023</v>
      </c>
      <c r="C214" s="6">
        <v>1996.56</v>
      </c>
      <c r="D214" s="6">
        <v>2676.24</v>
      </c>
      <c r="E214" s="6">
        <v>0.65</v>
      </c>
      <c r="F214" s="6">
        <f t="shared" si="3"/>
        <v>2438.3519999999999</v>
      </c>
      <c r="G214" s="6">
        <f>F214/INDEX('Revision Basis'!$B$5:$B$10,MATCH(B214,'Revision Basis'!$A$5:$A$10,0))</f>
        <v>42.48</v>
      </c>
      <c r="H214" s="6">
        <f>F214/INDEX('Revision Basis'!$C$5:$C$10,MATCH(B214,'Revision Basis'!$A$5:$A$10,0))</f>
        <v>11.419247880859832</v>
      </c>
      <c r="I214" s="6">
        <f>F214/INDEX('Revision Basis'!$D$5:$D$10,MATCH(B214,'Revision Basis'!$A$5:$A$10,0))</f>
        <v>6.5635316285329743</v>
      </c>
      <c r="J214" s="4" t="s">
        <v>11</v>
      </c>
    </row>
    <row r="215" spans="1:10">
      <c r="A215" s="4" t="s">
        <v>48</v>
      </c>
      <c r="B215" s="5">
        <v>2024</v>
      </c>
      <c r="C215" s="6">
        <v>1996.56</v>
      </c>
      <c r="D215" s="6">
        <v>2336.4</v>
      </c>
      <c r="E215" s="6">
        <v>0.65</v>
      </c>
      <c r="F215" s="6">
        <f t="shared" si="3"/>
        <v>2217.4560000000001</v>
      </c>
      <c r="G215" s="6">
        <f>F215/INDEX('Revision Basis'!$B$5:$B$10,MATCH(B215,'Revision Basis'!$A$5:$A$10,0))</f>
        <v>42.48</v>
      </c>
      <c r="H215" s="6">
        <f>F215/INDEX('Revision Basis'!$C$5:$C$10,MATCH(B215,'Revision Basis'!$A$5:$A$10,0))</f>
        <v>11.419590071068081</v>
      </c>
      <c r="I215" s="6">
        <f>F215/INDEX('Revision Basis'!$D$5:$D$10,MATCH(B215,'Revision Basis'!$A$5:$A$10,0))</f>
        <v>6.7502465753424659</v>
      </c>
      <c r="J215" s="4" t="s">
        <v>11</v>
      </c>
    </row>
    <row r="216" spans="1:10">
      <c r="A216" s="4" t="s">
        <v>48</v>
      </c>
      <c r="B216" s="5">
        <v>2025</v>
      </c>
      <c r="C216" s="6">
        <v>1869.12</v>
      </c>
      <c r="D216" s="6">
        <v>2591.2800000000002</v>
      </c>
      <c r="E216" s="6">
        <v>0.65</v>
      </c>
      <c r="F216" s="6">
        <f t="shared" si="3"/>
        <v>2338.5240000000003</v>
      </c>
      <c r="G216" s="6">
        <f>F216/INDEX('Revision Basis'!$B$5:$B$10,MATCH(B216,'Revision Basis'!$A$5:$A$10,0))</f>
        <v>42.480000000000011</v>
      </c>
      <c r="H216" s="6">
        <f>F216/INDEX('Revision Basis'!$C$5:$C$10,MATCH(B216,'Revision Basis'!$A$5:$A$10,0))</f>
        <v>11.419131793544608</v>
      </c>
      <c r="I216" s="6">
        <f>F216/INDEX('Revision Basis'!$D$5:$D$10,MATCH(B216,'Revision Basis'!$A$5:$A$10,0))</f>
        <v>7.1133809885931569</v>
      </c>
      <c r="J216" s="4" t="s">
        <v>11</v>
      </c>
    </row>
    <row r="217" spans="1:10">
      <c r="A217" s="4" t="s">
        <v>48</v>
      </c>
      <c r="B217" s="5">
        <v>2026</v>
      </c>
      <c r="C217" s="6">
        <v>2124</v>
      </c>
      <c r="D217" s="6">
        <v>2548.8000000000002</v>
      </c>
      <c r="E217" s="6">
        <v>0.65</v>
      </c>
      <c r="F217" s="6">
        <f t="shared" si="3"/>
        <v>2400.12</v>
      </c>
      <c r="G217" s="6">
        <f>F217/INDEX('Revision Basis'!$B$5:$B$10,MATCH(B217,'Revision Basis'!$A$5:$A$10,0))</f>
        <v>42.48</v>
      </c>
      <c r="H217" s="6">
        <f>F217/INDEX('Revision Basis'!$C$5:$C$10,MATCH(B217,'Revision Basis'!$A$5:$A$10,0))</f>
        <v>11.419354838709676</v>
      </c>
      <c r="I217" s="6">
        <f>F217/INDEX('Revision Basis'!$D$5:$D$10,MATCH(B217,'Revision Basis'!$A$5:$A$10,0))</f>
        <v>7.3736405529953917</v>
      </c>
      <c r="J217" s="4" t="s">
        <v>11</v>
      </c>
    </row>
    <row r="218" spans="1:10">
      <c r="A218" s="4" t="s">
        <v>49</v>
      </c>
      <c r="B218" s="5">
        <v>2021</v>
      </c>
      <c r="C218" s="6">
        <v>1460.25</v>
      </c>
      <c r="D218" s="6">
        <v>1858.5</v>
      </c>
      <c r="E218" s="6">
        <v>0.65</v>
      </c>
      <c r="F218" s="6">
        <f t="shared" si="3"/>
        <v>1719.1125</v>
      </c>
      <c r="G218" s="6">
        <f>F218/INDEX('Revision Basis'!$B$5:$B$10,MATCH(B218,'Revision Basis'!$A$5:$A$10,0))</f>
        <v>26.55</v>
      </c>
      <c r="H218" s="6">
        <f>F218/INDEX('Revision Basis'!$C$5:$C$10,MATCH(B218,'Revision Basis'!$A$5:$A$10,0))</f>
        <v>7.137096774193548</v>
      </c>
      <c r="I218" s="6">
        <f>F218/INDEX('Revision Basis'!$D$5:$D$10,MATCH(B218,'Revision Basis'!$A$5:$A$10,0))</f>
        <v>6.0961436170212764</v>
      </c>
      <c r="J218" s="4" t="s">
        <v>11</v>
      </c>
    </row>
    <row r="219" spans="1:10">
      <c r="A219" s="4" t="s">
        <v>49</v>
      </c>
      <c r="B219" s="5">
        <v>2022</v>
      </c>
      <c r="C219" s="6">
        <v>1433.7</v>
      </c>
      <c r="D219" s="6">
        <v>2124</v>
      </c>
      <c r="E219" s="6">
        <v>0.65</v>
      </c>
      <c r="F219" s="6">
        <f t="shared" si="3"/>
        <v>1882.395</v>
      </c>
      <c r="G219" s="6">
        <f>F219/INDEX('Revision Basis'!$B$5:$B$10,MATCH(B219,'Revision Basis'!$A$5:$A$10,0))</f>
        <v>26.549999999999997</v>
      </c>
      <c r="H219" s="6">
        <f>F219/INDEX('Revision Basis'!$C$5:$C$10,MATCH(B219,'Revision Basis'!$A$5:$A$10,0))</f>
        <v>7.137042654028436</v>
      </c>
      <c r="I219" s="6">
        <f>F219/INDEX('Revision Basis'!$D$5:$D$10,MATCH(B219,'Revision Basis'!$A$5:$A$10,0))</f>
        <v>4.8515335051546389</v>
      </c>
      <c r="J219" s="4" t="s">
        <v>11</v>
      </c>
    </row>
    <row r="220" spans="1:10">
      <c r="A220" s="4" t="s">
        <v>49</v>
      </c>
      <c r="B220" s="5">
        <v>2023</v>
      </c>
      <c r="C220" s="6">
        <v>1247.8499999999999</v>
      </c>
      <c r="D220" s="6">
        <v>1672.65</v>
      </c>
      <c r="E220" s="6">
        <v>0.65</v>
      </c>
      <c r="F220" s="6">
        <f t="shared" si="3"/>
        <v>1523.97</v>
      </c>
      <c r="G220" s="6">
        <f>F220/INDEX('Revision Basis'!$B$5:$B$10,MATCH(B220,'Revision Basis'!$A$5:$A$10,0))</f>
        <v>26.55</v>
      </c>
      <c r="H220" s="6">
        <f>F220/INDEX('Revision Basis'!$C$5:$C$10,MATCH(B220,'Revision Basis'!$A$5:$A$10,0))</f>
        <v>7.1370299255373952</v>
      </c>
      <c r="I220" s="6">
        <f>F220/INDEX('Revision Basis'!$D$5:$D$10,MATCH(B220,'Revision Basis'!$A$5:$A$10,0))</f>
        <v>4.1022072678331094</v>
      </c>
      <c r="J220" s="4" t="s">
        <v>11</v>
      </c>
    </row>
    <row r="221" spans="1:10">
      <c r="A221" s="4" t="s">
        <v>49</v>
      </c>
      <c r="B221" s="5">
        <v>2024</v>
      </c>
      <c r="C221" s="6">
        <v>1247.8499999999999</v>
      </c>
      <c r="D221" s="6">
        <v>1460.25</v>
      </c>
      <c r="E221" s="6">
        <v>0.65</v>
      </c>
      <c r="F221" s="6">
        <f t="shared" si="3"/>
        <v>1385.9099999999999</v>
      </c>
      <c r="G221" s="6">
        <f>F221/INDEX('Revision Basis'!$B$5:$B$10,MATCH(B221,'Revision Basis'!$A$5:$A$10,0))</f>
        <v>26.549999999999997</v>
      </c>
      <c r="H221" s="6">
        <f>F221/INDEX('Revision Basis'!$C$5:$C$10,MATCH(B221,'Revision Basis'!$A$5:$A$10,0))</f>
        <v>7.1372437944175493</v>
      </c>
      <c r="I221" s="6">
        <f>F221/INDEX('Revision Basis'!$D$5:$D$10,MATCH(B221,'Revision Basis'!$A$5:$A$10,0))</f>
        <v>4.2189041095890403</v>
      </c>
      <c r="J221" s="4" t="s">
        <v>11</v>
      </c>
    </row>
    <row r="222" spans="1:10">
      <c r="A222" s="4" t="s">
        <v>49</v>
      </c>
      <c r="B222" s="5">
        <v>2025</v>
      </c>
      <c r="C222" s="6">
        <v>1168.2</v>
      </c>
      <c r="D222" s="6">
        <v>1619.55</v>
      </c>
      <c r="E222" s="6">
        <v>0.65</v>
      </c>
      <c r="F222" s="6">
        <f t="shared" si="3"/>
        <v>1461.5774999999999</v>
      </c>
      <c r="G222" s="6">
        <f>F222/INDEX('Revision Basis'!$B$5:$B$10,MATCH(B222,'Revision Basis'!$A$5:$A$10,0))</f>
        <v>26.55</v>
      </c>
      <c r="H222" s="6">
        <f>F222/INDEX('Revision Basis'!$C$5:$C$10,MATCH(B222,'Revision Basis'!$A$5:$A$10,0))</f>
        <v>7.1369573709653791</v>
      </c>
      <c r="I222" s="6">
        <f>F222/INDEX('Revision Basis'!$D$5:$D$10,MATCH(B222,'Revision Basis'!$A$5:$A$10,0))</f>
        <v>4.4458631178707222</v>
      </c>
      <c r="J222" s="4" t="s">
        <v>11</v>
      </c>
    </row>
    <row r="223" spans="1:10">
      <c r="A223" s="4" t="s">
        <v>49</v>
      </c>
      <c r="B223" s="5">
        <v>2026</v>
      </c>
      <c r="C223" s="6">
        <v>1327.5</v>
      </c>
      <c r="D223" s="6">
        <v>1593</v>
      </c>
      <c r="E223" s="6">
        <v>0.65</v>
      </c>
      <c r="F223" s="6">
        <f t="shared" si="3"/>
        <v>1500.075</v>
      </c>
      <c r="G223" s="6">
        <f>F223/INDEX('Revision Basis'!$B$5:$B$10,MATCH(B223,'Revision Basis'!$A$5:$A$10,0))</f>
        <v>26.55</v>
      </c>
      <c r="H223" s="6">
        <f>F223/INDEX('Revision Basis'!$C$5:$C$10,MATCH(B223,'Revision Basis'!$A$5:$A$10,0))</f>
        <v>7.137096774193548</v>
      </c>
      <c r="I223" s="6">
        <f>F223/INDEX('Revision Basis'!$D$5:$D$10,MATCH(B223,'Revision Basis'!$A$5:$A$10,0))</f>
        <v>4.6085253456221196</v>
      </c>
      <c r="J223" s="4" t="s">
        <v>11</v>
      </c>
    </row>
    <row r="224" spans="1:10">
      <c r="A224" s="4" t="s">
        <v>50</v>
      </c>
      <c r="B224" s="5">
        <v>2021</v>
      </c>
      <c r="C224" s="6">
        <v>2920.5</v>
      </c>
      <c r="D224" s="6">
        <v>3717</v>
      </c>
      <c r="E224" s="6">
        <v>0.65</v>
      </c>
      <c r="F224" s="6">
        <f t="shared" si="3"/>
        <v>3438.2249999999999</v>
      </c>
      <c r="G224" s="6">
        <f>F224/INDEX('Revision Basis'!$B$5:$B$10,MATCH(B224,'Revision Basis'!$A$5:$A$10,0))</f>
        <v>53.1</v>
      </c>
      <c r="H224" s="6">
        <f>F224/INDEX('Revision Basis'!$C$5:$C$10,MATCH(B224,'Revision Basis'!$A$5:$A$10,0))</f>
        <v>14.274193548387096</v>
      </c>
      <c r="I224" s="6">
        <f>F224/INDEX('Revision Basis'!$D$5:$D$10,MATCH(B224,'Revision Basis'!$A$5:$A$10,0))</f>
        <v>12.192287234042553</v>
      </c>
      <c r="J224" s="4" t="s">
        <v>11</v>
      </c>
    </row>
    <row r="225" spans="1:10">
      <c r="A225" s="4" t="s">
        <v>50</v>
      </c>
      <c r="B225" s="5">
        <v>2022</v>
      </c>
      <c r="C225" s="6">
        <v>2867.4</v>
      </c>
      <c r="D225" s="6">
        <v>4248</v>
      </c>
      <c r="E225" s="6">
        <v>0.65</v>
      </c>
      <c r="F225" s="6">
        <f t="shared" si="3"/>
        <v>3764.79</v>
      </c>
      <c r="G225" s="6">
        <f>F225/INDEX('Revision Basis'!$B$5:$B$10,MATCH(B225,'Revision Basis'!$A$5:$A$10,0))</f>
        <v>53.099999999999994</v>
      </c>
      <c r="H225" s="6">
        <f>F225/INDEX('Revision Basis'!$C$5:$C$10,MATCH(B225,'Revision Basis'!$A$5:$A$10,0))</f>
        <v>14.274085308056872</v>
      </c>
      <c r="I225" s="6">
        <f>F225/INDEX('Revision Basis'!$D$5:$D$10,MATCH(B225,'Revision Basis'!$A$5:$A$10,0))</f>
        <v>9.7030670103092778</v>
      </c>
      <c r="J225" s="4" t="s">
        <v>11</v>
      </c>
    </row>
    <row r="226" spans="1:10">
      <c r="A226" s="4" t="s">
        <v>50</v>
      </c>
      <c r="B226" s="5">
        <v>2023</v>
      </c>
      <c r="C226" s="6">
        <v>2495.6999999999998</v>
      </c>
      <c r="D226" s="6">
        <v>3345.3</v>
      </c>
      <c r="E226" s="6">
        <v>0.65</v>
      </c>
      <c r="F226" s="6">
        <f t="shared" si="3"/>
        <v>3047.94</v>
      </c>
      <c r="G226" s="6">
        <f>F226/INDEX('Revision Basis'!$B$5:$B$10,MATCH(B226,'Revision Basis'!$A$5:$A$10,0))</f>
        <v>53.1</v>
      </c>
      <c r="H226" s="6">
        <f>F226/INDEX('Revision Basis'!$C$5:$C$10,MATCH(B226,'Revision Basis'!$A$5:$A$10,0))</f>
        <v>14.27405985107479</v>
      </c>
      <c r="I226" s="6">
        <f>F226/INDEX('Revision Basis'!$D$5:$D$10,MATCH(B226,'Revision Basis'!$A$5:$A$10,0))</f>
        <v>8.2044145356662188</v>
      </c>
      <c r="J226" s="4" t="s">
        <v>11</v>
      </c>
    </row>
    <row r="227" spans="1:10">
      <c r="A227" s="4" t="s">
        <v>50</v>
      </c>
      <c r="B227" s="5">
        <v>2024</v>
      </c>
      <c r="C227" s="6">
        <v>2495.6999999999998</v>
      </c>
      <c r="D227" s="6">
        <v>2920.5</v>
      </c>
      <c r="E227" s="6">
        <v>0.65</v>
      </c>
      <c r="F227" s="6">
        <f t="shared" si="3"/>
        <v>2771.8199999999997</v>
      </c>
      <c r="G227" s="6">
        <f>F227/INDEX('Revision Basis'!$B$5:$B$10,MATCH(B227,'Revision Basis'!$A$5:$A$10,0))</f>
        <v>53.099999999999994</v>
      </c>
      <c r="H227" s="6">
        <f>F227/INDEX('Revision Basis'!$C$5:$C$10,MATCH(B227,'Revision Basis'!$A$5:$A$10,0))</f>
        <v>14.274487588835099</v>
      </c>
      <c r="I227" s="6">
        <f>F227/INDEX('Revision Basis'!$D$5:$D$10,MATCH(B227,'Revision Basis'!$A$5:$A$10,0))</f>
        <v>8.4378082191780805</v>
      </c>
      <c r="J227" s="4" t="s">
        <v>11</v>
      </c>
    </row>
    <row r="228" spans="1:10">
      <c r="A228" s="4" t="s">
        <v>50</v>
      </c>
      <c r="B228" s="5">
        <v>2025</v>
      </c>
      <c r="C228" s="6">
        <v>2336.4</v>
      </c>
      <c r="D228" s="6">
        <v>3239.1</v>
      </c>
      <c r="E228" s="6">
        <v>0.65</v>
      </c>
      <c r="F228" s="6">
        <f t="shared" si="3"/>
        <v>2923.1549999999997</v>
      </c>
      <c r="G228" s="6">
        <f>F228/INDEX('Revision Basis'!$B$5:$B$10,MATCH(B228,'Revision Basis'!$A$5:$A$10,0))</f>
        <v>53.1</v>
      </c>
      <c r="H228" s="6">
        <f>F228/INDEX('Revision Basis'!$C$5:$C$10,MATCH(B228,'Revision Basis'!$A$5:$A$10,0))</f>
        <v>14.273914741930758</v>
      </c>
      <c r="I228" s="6">
        <f>F228/INDEX('Revision Basis'!$D$5:$D$10,MATCH(B228,'Revision Basis'!$A$5:$A$10,0))</f>
        <v>8.8917262357414444</v>
      </c>
      <c r="J228" s="4" t="s">
        <v>11</v>
      </c>
    </row>
    <row r="229" spans="1:10">
      <c r="A229" s="4" t="s">
        <v>50</v>
      </c>
      <c r="B229" s="5">
        <v>2026</v>
      </c>
      <c r="C229" s="6">
        <v>2655</v>
      </c>
      <c r="D229" s="6">
        <v>3186</v>
      </c>
      <c r="E229" s="6">
        <v>0.65</v>
      </c>
      <c r="F229" s="6">
        <f t="shared" si="3"/>
        <v>3000.15</v>
      </c>
      <c r="G229" s="6">
        <f>F229/INDEX('Revision Basis'!$B$5:$B$10,MATCH(B229,'Revision Basis'!$A$5:$A$10,0))</f>
        <v>53.1</v>
      </c>
      <c r="H229" s="6">
        <f>F229/INDEX('Revision Basis'!$C$5:$C$10,MATCH(B229,'Revision Basis'!$A$5:$A$10,0))</f>
        <v>14.274193548387096</v>
      </c>
      <c r="I229" s="6">
        <f>F229/INDEX('Revision Basis'!$D$5:$D$10,MATCH(B229,'Revision Basis'!$A$5:$A$10,0))</f>
        <v>9.2170506912442391</v>
      </c>
      <c r="J229" s="4" t="s">
        <v>11</v>
      </c>
    </row>
    <row r="230" spans="1:10">
      <c r="A230" s="4" t="s">
        <v>51</v>
      </c>
      <c r="B230" s="5">
        <v>2021</v>
      </c>
      <c r="C230" s="6">
        <v>876.15</v>
      </c>
      <c r="D230" s="6">
        <v>1115.0999999999999</v>
      </c>
      <c r="E230" s="6">
        <v>0.65</v>
      </c>
      <c r="F230" s="6">
        <f t="shared" si="3"/>
        <v>1031.4675</v>
      </c>
      <c r="G230" s="6">
        <f>F230/INDEX('Revision Basis'!$B$5:$B$10,MATCH(B230,'Revision Basis'!$A$5:$A$10,0))</f>
        <v>15.93</v>
      </c>
      <c r="H230" s="6">
        <f>F230/INDEX('Revision Basis'!$C$5:$C$10,MATCH(B230,'Revision Basis'!$A$5:$A$10,0))</f>
        <v>4.282258064516129</v>
      </c>
      <c r="I230" s="6">
        <f>F230/INDEX('Revision Basis'!$D$5:$D$10,MATCH(B230,'Revision Basis'!$A$5:$A$10,0))</f>
        <v>3.6576861702127657</v>
      </c>
      <c r="J230" s="4" t="s">
        <v>11</v>
      </c>
    </row>
    <row r="231" spans="1:10">
      <c r="A231" s="4" t="s">
        <v>51</v>
      </c>
      <c r="B231" s="5">
        <v>2022</v>
      </c>
      <c r="C231" s="6">
        <v>860.22</v>
      </c>
      <c r="D231" s="6">
        <v>1274.4000000000001</v>
      </c>
      <c r="E231" s="6">
        <v>0.65</v>
      </c>
      <c r="F231" s="6">
        <f t="shared" si="3"/>
        <v>1129.4370000000001</v>
      </c>
      <c r="G231" s="6">
        <f>F231/INDEX('Revision Basis'!$B$5:$B$10,MATCH(B231,'Revision Basis'!$A$5:$A$10,0))</f>
        <v>15.93</v>
      </c>
      <c r="H231" s="6">
        <f>F231/INDEX('Revision Basis'!$C$5:$C$10,MATCH(B231,'Revision Basis'!$A$5:$A$10,0))</f>
        <v>4.2822255924170625</v>
      </c>
      <c r="I231" s="6">
        <f>F231/INDEX('Revision Basis'!$D$5:$D$10,MATCH(B231,'Revision Basis'!$A$5:$A$10,0))</f>
        <v>2.910920103092784</v>
      </c>
      <c r="J231" s="4" t="s">
        <v>11</v>
      </c>
    </row>
    <row r="232" spans="1:10">
      <c r="A232" s="4" t="s">
        <v>51</v>
      </c>
      <c r="B232" s="5">
        <v>2023</v>
      </c>
      <c r="C232" s="6">
        <v>748.71</v>
      </c>
      <c r="D232" s="6">
        <v>1003.59</v>
      </c>
      <c r="E232" s="6">
        <v>0.65</v>
      </c>
      <c r="F232" s="6">
        <f t="shared" si="3"/>
        <v>914.38200000000006</v>
      </c>
      <c r="G232" s="6">
        <f>F232/INDEX('Revision Basis'!$B$5:$B$10,MATCH(B232,'Revision Basis'!$A$5:$A$10,0))</f>
        <v>15.930000000000001</v>
      </c>
      <c r="H232" s="6">
        <f>F232/INDEX('Revision Basis'!$C$5:$C$10,MATCH(B232,'Revision Basis'!$A$5:$A$10,0))</f>
        <v>4.2822179553224373</v>
      </c>
      <c r="I232" s="6">
        <f>F232/INDEX('Revision Basis'!$D$5:$D$10,MATCH(B232,'Revision Basis'!$A$5:$A$10,0))</f>
        <v>2.4613243606998654</v>
      </c>
      <c r="J232" s="4" t="s">
        <v>11</v>
      </c>
    </row>
    <row r="233" spans="1:10">
      <c r="A233" s="4" t="s">
        <v>51</v>
      </c>
      <c r="B233" s="5">
        <v>2024</v>
      </c>
      <c r="C233" s="6">
        <v>748.71</v>
      </c>
      <c r="D233" s="6">
        <v>876.15</v>
      </c>
      <c r="E233" s="6">
        <v>0.65</v>
      </c>
      <c r="F233" s="6">
        <f t="shared" si="3"/>
        <v>831.54600000000005</v>
      </c>
      <c r="G233" s="6">
        <f>F233/INDEX('Revision Basis'!$B$5:$B$10,MATCH(B233,'Revision Basis'!$A$5:$A$10,0))</f>
        <v>15.93</v>
      </c>
      <c r="H233" s="6">
        <f>F233/INDEX('Revision Basis'!$C$5:$C$10,MATCH(B233,'Revision Basis'!$A$5:$A$10,0))</f>
        <v>4.2823462766505305</v>
      </c>
      <c r="I233" s="6">
        <f>F233/INDEX('Revision Basis'!$D$5:$D$10,MATCH(B233,'Revision Basis'!$A$5:$A$10,0))</f>
        <v>2.5313424657534247</v>
      </c>
      <c r="J233" s="4" t="s">
        <v>11</v>
      </c>
    </row>
    <row r="234" spans="1:10">
      <c r="A234" s="4" t="s">
        <v>51</v>
      </c>
      <c r="B234" s="5">
        <v>2025</v>
      </c>
      <c r="C234" s="6">
        <v>700.92</v>
      </c>
      <c r="D234" s="6">
        <v>971.73</v>
      </c>
      <c r="E234" s="6">
        <v>0.65</v>
      </c>
      <c r="F234" s="6">
        <f t="shared" si="3"/>
        <v>876.94650000000001</v>
      </c>
      <c r="G234" s="6">
        <f>F234/INDEX('Revision Basis'!$B$5:$B$10,MATCH(B234,'Revision Basis'!$A$5:$A$10,0))</f>
        <v>15.930000000000001</v>
      </c>
      <c r="H234" s="6">
        <f>F234/INDEX('Revision Basis'!$C$5:$C$10,MATCH(B234,'Revision Basis'!$A$5:$A$10,0))</f>
        <v>4.282174422579228</v>
      </c>
      <c r="I234" s="6">
        <f>F234/INDEX('Revision Basis'!$D$5:$D$10,MATCH(B234,'Revision Basis'!$A$5:$A$10,0))</f>
        <v>2.6675178707224334</v>
      </c>
      <c r="J234" s="4" t="s">
        <v>11</v>
      </c>
    </row>
    <row r="235" spans="1:10">
      <c r="A235" s="4" t="s">
        <v>51</v>
      </c>
      <c r="B235" s="5">
        <v>2026</v>
      </c>
      <c r="C235" s="6">
        <v>796.5</v>
      </c>
      <c r="D235" s="6">
        <v>955.8</v>
      </c>
      <c r="E235" s="6">
        <v>0.65</v>
      </c>
      <c r="F235" s="6">
        <f t="shared" si="3"/>
        <v>900.04499999999996</v>
      </c>
      <c r="G235" s="6">
        <f>F235/INDEX('Revision Basis'!$B$5:$B$10,MATCH(B235,'Revision Basis'!$A$5:$A$10,0))</f>
        <v>15.93</v>
      </c>
      <c r="H235" s="6">
        <f>F235/INDEX('Revision Basis'!$C$5:$C$10,MATCH(B235,'Revision Basis'!$A$5:$A$10,0))</f>
        <v>4.282258064516129</v>
      </c>
      <c r="I235" s="6">
        <f>F235/INDEX('Revision Basis'!$D$5:$D$10,MATCH(B235,'Revision Basis'!$A$5:$A$10,0))</f>
        <v>2.7651152073732717</v>
      </c>
      <c r="J235" s="4" t="s">
        <v>11</v>
      </c>
    </row>
    <row r="236" spans="1:10">
      <c r="A236" s="4" t="s">
        <v>52</v>
      </c>
      <c r="B236" s="5">
        <v>2021</v>
      </c>
      <c r="C236" s="6">
        <v>1898.05</v>
      </c>
      <c r="D236" s="6">
        <v>2415.6999999999998</v>
      </c>
      <c r="E236" s="6">
        <v>0.65</v>
      </c>
      <c r="F236" s="6">
        <f t="shared" si="3"/>
        <v>2234.5225</v>
      </c>
      <c r="G236" s="6">
        <f>F236/INDEX('Revision Basis'!$B$5:$B$10,MATCH(B236,'Revision Basis'!$A$5:$A$10,0))</f>
        <v>34.51</v>
      </c>
      <c r="H236" s="6">
        <f>F236/INDEX('Revision Basis'!$C$5:$C$10,MATCH(B236,'Revision Basis'!$A$5:$A$10,0))</f>
        <v>9.2768817204301079</v>
      </c>
      <c r="I236" s="6">
        <f>F236/INDEX('Revision Basis'!$D$5:$D$10,MATCH(B236,'Revision Basis'!$A$5:$A$10,0))</f>
        <v>7.9238386524822699</v>
      </c>
      <c r="J236" s="4" t="s">
        <v>11</v>
      </c>
    </row>
    <row r="237" spans="1:10">
      <c r="A237" s="4" t="s">
        <v>52</v>
      </c>
      <c r="B237" s="5">
        <v>2022</v>
      </c>
      <c r="C237" s="6">
        <v>1863.54</v>
      </c>
      <c r="D237" s="6">
        <v>2760.8</v>
      </c>
      <c r="E237" s="6">
        <v>0.65</v>
      </c>
      <c r="F237" s="6">
        <f t="shared" si="3"/>
        <v>2446.759</v>
      </c>
      <c r="G237" s="6">
        <f>F237/INDEX('Revision Basis'!$B$5:$B$10,MATCH(B237,'Revision Basis'!$A$5:$A$10,0))</f>
        <v>34.51</v>
      </c>
      <c r="H237" s="6">
        <f>F237/INDEX('Revision Basis'!$C$5:$C$10,MATCH(B237,'Revision Basis'!$A$5:$A$10,0))</f>
        <v>9.2768113744075826</v>
      </c>
      <c r="I237" s="6">
        <f>F237/INDEX('Revision Basis'!$D$5:$D$10,MATCH(B237,'Revision Basis'!$A$5:$A$10,0))</f>
        <v>6.3060798969072165</v>
      </c>
      <c r="J237" s="4" t="s">
        <v>11</v>
      </c>
    </row>
    <row r="238" spans="1:10">
      <c r="A238" s="4" t="s">
        <v>52</v>
      </c>
      <c r="B238" s="5">
        <v>2023</v>
      </c>
      <c r="C238" s="6">
        <v>1621.97</v>
      </c>
      <c r="D238" s="6">
        <v>2174.13</v>
      </c>
      <c r="E238" s="6">
        <v>0.65</v>
      </c>
      <c r="F238" s="6">
        <f t="shared" si="3"/>
        <v>1980.874</v>
      </c>
      <c r="G238" s="6">
        <f>F238/INDEX('Revision Basis'!$B$5:$B$10,MATCH(B238,'Revision Basis'!$A$5:$A$10,0))</f>
        <v>34.51</v>
      </c>
      <c r="H238" s="6">
        <f>F238/INDEX('Revision Basis'!$C$5:$C$10,MATCH(B238,'Revision Basis'!$A$5:$A$10,0))</f>
        <v>9.2767948297663096</v>
      </c>
      <c r="I238" s="6">
        <f>F238/INDEX('Revision Basis'!$D$5:$D$10,MATCH(B238,'Revision Basis'!$A$5:$A$10,0))</f>
        <v>5.3320969044414532</v>
      </c>
      <c r="J238" s="4" t="s">
        <v>11</v>
      </c>
    </row>
    <row r="239" spans="1:10">
      <c r="A239" s="4" t="s">
        <v>52</v>
      </c>
      <c r="B239" s="5">
        <v>2024</v>
      </c>
      <c r="C239" s="6">
        <v>1621.97</v>
      </c>
      <c r="D239" s="6">
        <v>1898.05</v>
      </c>
      <c r="E239" s="6">
        <v>0.65</v>
      </c>
      <c r="F239" s="6">
        <f t="shared" si="3"/>
        <v>1801.422</v>
      </c>
      <c r="G239" s="6">
        <f>F239/INDEX('Revision Basis'!$B$5:$B$10,MATCH(B239,'Revision Basis'!$A$5:$A$10,0))</f>
        <v>34.51</v>
      </c>
      <c r="H239" s="6">
        <f>F239/INDEX('Revision Basis'!$C$5:$C$10,MATCH(B239,'Revision Basis'!$A$5:$A$10,0))</f>
        <v>9.2770728190338865</v>
      </c>
      <c r="I239" s="6">
        <f>F239/INDEX('Revision Basis'!$D$5:$D$10,MATCH(B239,'Revision Basis'!$A$5:$A$10,0))</f>
        <v>5.4837808219178079</v>
      </c>
      <c r="J239" s="4" t="s">
        <v>11</v>
      </c>
    </row>
    <row r="240" spans="1:10">
      <c r="A240" s="4" t="s">
        <v>52</v>
      </c>
      <c r="B240" s="5">
        <v>2025</v>
      </c>
      <c r="C240" s="6">
        <v>1518.44</v>
      </c>
      <c r="D240" s="6">
        <v>2105.11</v>
      </c>
      <c r="E240" s="6">
        <v>0.65</v>
      </c>
      <c r="F240" s="6">
        <f t="shared" si="3"/>
        <v>1899.7755000000002</v>
      </c>
      <c r="G240" s="6">
        <f>F240/INDEX('Revision Basis'!$B$5:$B$10,MATCH(B240,'Revision Basis'!$A$5:$A$10,0))</f>
        <v>34.510000000000005</v>
      </c>
      <c r="H240" s="6">
        <f>F240/INDEX('Revision Basis'!$C$5:$C$10,MATCH(B240,'Revision Basis'!$A$5:$A$10,0))</f>
        <v>9.2767005224864505</v>
      </c>
      <c r="I240" s="6">
        <f>F240/INDEX('Revision Basis'!$D$5:$D$10,MATCH(B240,'Revision Basis'!$A$5:$A$10,0))</f>
        <v>5.7787847908745249</v>
      </c>
      <c r="J240" s="4" t="s">
        <v>11</v>
      </c>
    </row>
    <row r="241" spans="1:10">
      <c r="A241" s="4" t="s">
        <v>52</v>
      </c>
      <c r="B241" s="5">
        <v>2026</v>
      </c>
      <c r="C241" s="6">
        <v>1725.5</v>
      </c>
      <c r="D241" s="6">
        <v>2070.6</v>
      </c>
      <c r="E241" s="6">
        <v>0.65</v>
      </c>
      <c r="F241" s="6">
        <f t="shared" si="3"/>
        <v>1949.8150000000001</v>
      </c>
      <c r="G241" s="6">
        <f>F241/INDEX('Revision Basis'!$B$5:$B$10,MATCH(B241,'Revision Basis'!$A$5:$A$10,0))</f>
        <v>34.51</v>
      </c>
      <c r="H241" s="6">
        <f>F241/INDEX('Revision Basis'!$C$5:$C$10,MATCH(B241,'Revision Basis'!$A$5:$A$10,0))</f>
        <v>9.2768817204301079</v>
      </c>
      <c r="I241" s="6">
        <f>F241/INDEX('Revision Basis'!$D$5:$D$10,MATCH(B241,'Revision Basis'!$A$5:$A$10,0))</f>
        <v>5.9902150537634409</v>
      </c>
      <c r="J241" s="4" t="s">
        <v>11</v>
      </c>
    </row>
    <row r="242" spans="1:10">
      <c r="A242" s="4" t="s">
        <v>53</v>
      </c>
      <c r="B242" s="5">
        <v>2021</v>
      </c>
      <c r="C242" s="6">
        <v>1752.3</v>
      </c>
      <c r="D242" s="6">
        <v>2230.1999999999998</v>
      </c>
      <c r="E242" s="6">
        <v>0.65</v>
      </c>
      <c r="F242" s="6">
        <f t="shared" si="3"/>
        <v>2062.9349999999999</v>
      </c>
      <c r="G242" s="6">
        <f>F242/INDEX('Revision Basis'!$B$5:$B$10,MATCH(B242,'Revision Basis'!$A$5:$A$10,0))</f>
        <v>31.86</v>
      </c>
      <c r="H242" s="6">
        <f>F242/INDEX('Revision Basis'!$C$5:$C$10,MATCH(B242,'Revision Basis'!$A$5:$A$10,0))</f>
        <v>8.564516129032258</v>
      </c>
      <c r="I242" s="6">
        <f>F242/INDEX('Revision Basis'!$D$5:$D$10,MATCH(B242,'Revision Basis'!$A$5:$A$10,0))</f>
        <v>7.3153723404255313</v>
      </c>
      <c r="J242" s="4" t="s">
        <v>11</v>
      </c>
    </row>
    <row r="243" spans="1:10">
      <c r="A243" s="4" t="s">
        <v>53</v>
      </c>
      <c r="B243" s="5">
        <v>2022</v>
      </c>
      <c r="C243" s="6">
        <v>1720.44</v>
      </c>
      <c r="D243" s="6">
        <v>2548.8000000000002</v>
      </c>
      <c r="E243" s="6">
        <v>0.65</v>
      </c>
      <c r="F243" s="6">
        <f t="shared" si="3"/>
        <v>2258.8740000000003</v>
      </c>
      <c r="G243" s="6">
        <f>F243/INDEX('Revision Basis'!$B$5:$B$10,MATCH(B243,'Revision Basis'!$A$5:$A$10,0))</f>
        <v>31.86</v>
      </c>
      <c r="H243" s="6">
        <f>F243/INDEX('Revision Basis'!$C$5:$C$10,MATCH(B243,'Revision Basis'!$A$5:$A$10,0))</f>
        <v>8.5644511848341249</v>
      </c>
      <c r="I243" s="6">
        <f>F243/INDEX('Revision Basis'!$D$5:$D$10,MATCH(B243,'Revision Basis'!$A$5:$A$10,0))</f>
        <v>5.8218402061855681</v>
      </c>
      <c r="J243" s="4" t="s">
        <v>11</v>
      </c>
    </row>
    <row r="244" spans="1:10">
      <c r="A244" s="4" t="s">
        <v>53</v>
      </c>
      <c r="B244" s="5">
        <v>2023</v>
      </c>
      <c r="C244" s="6">
        <v>1497.42</v>
      </c>
      <c r="D244" s="6">
        <v>2007.18</v>
      </c>
      <c r="E244" s="6">
        <v>0.65</v>
      </c>
      <c r="F244" s="6">
        <f t="shared" si="3"/>
        <v>1828.7640000000001</v>
      </c>
      <c r="G244" s="6">
        <f>F244/INDEX('Revision Basis'!$B$5:$B$10,MATCH(B244,'Revision Basis'!$A$5:$A$10,0))</f>
        <v>31.860000000000003</v>
      </c>
      <c r="H244" s="6">
        <f>F244/INDEX('Revision Basis'!$C$5:$C$10,MATCH(B244,'Revision Basis'!$A$5:$A$10,0))</f>
        <v>8.5644359106448746</v>
      </c>
      <c r="I244" s="6">
        <f>F244/INDEX('Revision Basis'!$D$5:$D$10,MATCH(B244,'Revision Basis'!$A$5:$A$10,0))</f>
        <v>4.9226487213997308</v>
      </c>
      <c r="J244" s="4" t="s">
        <v>11</v>
      </c>
    </row>
    <row r="245" spans="1:10">
      <c r="A245" s="4" t="s">
        <v>53</v>
      </c>
      <c r="B245" s="5">
        <v>2024</v>
      </c>
      <c r="C245" s="6">
        <v>1497.42</v>
      </c>
      <c r="D245" s="6">
        <v>1752.3</v>
      </c>
      <c r="E245" s="6">
        <v>0.65</v>
      </c>
      <c r="F245" s="6">
        <f t="shared" si="3"/>
        <v>1663.0920000000001</v>
      </c>
      <c r="G245" s="6">
        <f>F245/INDEX('Revision Basis'!$B$5:$B$10,MATCH(B245,'Revision Basis'!$A$5:$A$10,0))</f>
        <v>31.86</v>
      </c>
      <c r="H245" s="6">
        <f>F245/INDEX('Revision Basis'!$C$5:$C$10,MATCH(B245,'Revision Basis'!$A$5:$A$10,0))</f>
        <v>8.5646925533010609</v>
      </c>
      <c r="I245" s="6">
        <f>F245/INDEX('Revision Basis'!$D$5:$D$10,MATCH(B245,'Revision Basis'!$A$5:$A$10,0))</f>
        <v>5.0626849315068494</v>
      </c>
      <c r="J245" s="4" t="s">
        <v>11</v>
      </c>
    </row>
    <row r="246" spans="1:10">
      <c r="A246" s="4" t="s">
        <v>53</v>
      </c>
      <c r="B246" s="5">
        <v>2025</v>
      </c>
      <c r="C246" s="6">
        <v>1401.84</v>
      </c>
      <c r="D246" s="6">
        <v>1943.46</v>
      </c>
      <c r="E246" s="6">
        <v>0.65</v>
      </c>
      <c r="F246" s="6">
        <f t="shared" si="3"/>
        <v>1753.893</v>
      </c>
      <c r="G246" s="6">
        <f>F246/INDEX('Revision Basis'!$B$5:$B$10,MATCH(B246,'Revision Basis'!$A$5:$A$10,0))</f>
        <v>31.860000000000003</v>
      </c>
      <c r="H246" s="6">
        <f>F246/INDEX('Revision Basis'!$C$5:$C$10,MATCH(B246,'Revision Basis'!$A$5:$A$10,0))</f>
        <v>8.564348845158456</v>
      </c>
      <c r="I246" s="6">
        <f>F246/INDEX('Revision Basis'!$D$5:$D$10,MATCH(B246,'Revision Basis'!$A$5:$A$10,0))</f>
        <v>5.3350357414448668</v>
      </c>
      <c r="J246" s="4" t="s">
        <v>11</v>
      </c>
    </row>
    <row r="247" spans="1:10">
      <c r="A247" s="4" t="s">
        <v>53</v>
      </c>
      <c r="B247" s="5">
        <v>2026</v>
      </c>
      <c r="C247" s="6">
        <v>1593</v>
      </c>
      <c r="D247" s="6">
        <v>1911.6</v>
      </c>
      <c r="E247" s="6">
        <v>0.65</v>
      </c>
      <c r="F247" s="6">
        <f t="shared" si="3"/>
        <v>1800.09</v>
      </c>
      <c r="G247" s="6">
        <f>F247/INDEX('Revision Basis'!$B$5:$B$10,MATCH(B247,'Revision Basis'!$A$5:$A$10,0))</f>
        <v>31.86</v>
      </c>
      <c r="H247" s="6">
        <f>F247/INDEX('Revision Basis'!$C$5:$C$10,MATCH(B247,'Revision Basis'!$A$5:$A$10,0))</f>
        <v>8.564516129032258</v>
      </c>
      <c r="I247" s="6">
        <f>F247/INDEX('Revision Basis'!$D$5:$D$10,MATCH(B247,'Revision Basis'!$A$5:$A$10,0))</f>
        <v>5.5302304147465433</v>
      </c>
      <c r="J247" s="4" t="s">
        <v>11</v>
      </c>
    </row>
    <row r="248" spans="1:10">
      <c r="A248" s="4" t="s">
        <v>54</v>
      </c>
      <c r="B248" s="5">
        <v>2021</v>
      </c>
      <c r="C248" s="6">
        <v>370.15</v>
      </c>
      <c r="D248" s="6">
        <v>471.1</v>
      </c>
      <c r="E248" s="6">
        <v>0.65</v>
      </c>
      <c r="F248" s="6">
        <f t="shared" si="3"/>
        <v>435.76750000000004</v>
      </c>
      <c r="G248" s="6">
        <f>F248/INDEX('Revision Basis'!$B$5:$B$10,MATCH(B248,'Revision Basis'!$A$5:$A$10,0))</f>
        <v>6.73</v>
      </c>
      <c r="H248" s="6">
        <f>F248/INDEX('Revision Basis'!$C$5:$C$10,MATCH(B248,'Revision Basis'!$A$5:$A$10,0))</f>
        <v>1.8091397849462367</v>
      </c>
      <c r="I248" s="6">
        <f>F248/INDEX('Revision Basis'!$D$5:$D$10,MATCH(B248,'Revision Basis'!$A$5:$A$10,0))</f>
        <v>1.5452748226950357</v>
      </c>
      <c r="J248" s="4" t="s">
        <v>11</v>
      </c>
    </row>
    <row r="249" spans="1:10">
      <c r="A249" s="4" t="s">
        <v>54</v>
      </c>
      <c r="B249" s="5">
        <v>2022</v>
      </c>
      <c r="C249" s="6">
        <v>363.42</v>
      </c>
      <c r="D249" s="6">
        <v>538.4</v>
      </c>
      <c r="E249" s="6">
        <v>0.65</v>
      </c>
      <c r="F249" s="6">
        <f t="shared" si="3"/>
        <v>477.15699999999998</v>
      </c>
      <c r="G249" s="6">
        <f>F249/INDEX('Revision Basis'!$B$5:$B$10,MATCH(B249,'Revision Basis'!$A$5:$A$10,0))</f>
        <v>6.7299999999999995</v>
      </c>
      <c r="H249" s="6">
        <f>F249/INDEX('Revision Basis'!$C$5:$C$10,MATCH(B249,'Revision Basis'!$A$5:$A$10,0))</f>
        <v>1.8091260663507109</v>
      </c>
      <c r="I249" s="6">
        <f>F249/INDEX('Revision Basis'!$D$5:$D$10,MATCH(B249,'Revision Basis'!$A$5:$A$10,0))</f>
        <v>1.2297860824742268</v>
      </c>
      <c r="J249" s="4" t="s">
        <v>11</v>
      </c>
    </row>
    <row r="250" spans="1:10">
      <c r="A250" s="4" t="s">
        <v>54</v>
      </c>
      <c r="B250" s="5">
        <v>2023</v>
      </c>
      <c r="C250" s="6">
        <v>316.31</v>
      </c>
      <c r="D250" s="6">
        <v>423.99</v>
      </c>
      <c r="E250" s="6">
        <v>0.65</v>
      </c>
      <c r="F250" s="6">
        <f t="shared" si="3"/>
        <v>386.30200000000002</v>
      </c>
      <c r="G250" s="6">
        <f>F250/INDEX('Revision Basis'!$B$5:$B$10,MATCH(B250,'Revision Basis'!$A$5:$A$10,0))</f>
        <v>6.73</v>
      </c>
      <c r="H250" s="6">
        <f>F250/INDEX('Revision Basis'!$C$5:$C$10,MATCH(B250,'Revision Basis'!$A$5:$A$10,0))</f>
        <v>1.8091228398819839</v>
      </c>
      <c r="I250" s="6">
        <f>F250/INDEX('Revision Basis'!$D$5:$D$10,MATCH(B250,'Revision Basis'!$A$5:$A$10,0))</f>
        <v>1.0398438761776583</v>
      </c>
      <c r="J250" s="4" t="s">
        <v>11</v>
      </c>
    </row>
    <row r="251" spans="1:10">
      <c r="A251" s="4" t="s">
        <v>54</v>
      </c>
      <c r="B251" s="5">
        <v>2024</v>
      </c>
      <c r="C251" s="6">
        <v>316.31</v>
      </c>
      <c r="D251" s="6">
        <v>370.15</v>
      </c>
      <c r="E251" s="6">
        <v>0.65</v>
      </c>
      <c r="F251" s="6">
        <f t="shared" si="3"/>
        <v>351.30599999999998</v>
      </c>
      <c r="G251" s="6">
        <f>F251/INDEX('Revision Basis'!$B$5:$B$10,MATCH(B251,'Revision Basis'!$A$5:$A$10,0))</f>
        <v>6.7299999999999995</v>
      </c>
      <c r="H251" s="6">
        <f>F251/INDEX('Revision Basis'!$C$5:$C$10,MATCH(B251,'Revision Basis'!$A$5:$A$10,0))</f>
        <v>1.80917705221959</v>
      </c>
      <c r="I251" s="6">
        <f>F251/INDEX('Revision Basis'!$D$5:$D$10,MATCH(B251,'Revision Basis'!$A$5:$A$10,0))</f>
        <v>1.0694246575342465</v>
      </c>
      <c r="J251" s="4" t="s">
        <v>11</v>
      </c>
    </row>
    <row r="252" spans="1:10">
      <c r="A252" s="4" t="s">
        <v>54</v>
      </c>
      <c r="B252" s="5">
        <v>2025</v>
      </c>
      <c r="C252" s="6">
        <v>296.12</v>
      </c>
      <c r="D252" s="6">
        <v>410.53</v>
      </c>
      <c r="E252" s="6">
        <v>0.65</v>
      </c>
      <c r="F252" s="6">
        <f t="shared" si="3"/>
        <v>370.48649999999998</v>
      </c>
      <c r="G252" s="6">
        <f>F252/INDEX('Revision Basis'!$B$5:$B$10,MATCH(B252,'Revision Basis'!$A$5:$A$10,0))</f>
        <v>6.7299999999999995</v>
      </c>
      <c r="H252" s="6">
        <f>F252/INDEX('Revision Basis'!$C$5:$C$10,MATCH(B252,'Revision Basis'!$A$5:$A$10,0))</f>
        <v>1.8091044484593974</v>
      </c>
      <c r="I252" s="6">
        <f>F252/INDEX('Revision Basis'!$D$5:$D$10,MATCH(B252,'Revision Basis'!$A$5:$A$10,0))</f>
        <v>1.1269551330798477</v>
      </c>
      <c r="J252" s="4" t="s">
        <v>11</v>
      </c>
    </row>
    <row r="253" spans="1:10">
      <c r="A253" s="4" t="s">
        <v>54</v>
      </c>
      <c r="B253" s="5">
        <v>2026</v>
      </c>
      <c r="C253" s="6">
        <v>336.5</v>
      </c>
      <c r="D253" s="6">
        <v>403.8</v>
      </c>
      <c r="E253" s="6">
        <v>0.65</v>
      </c>
      <c r="F253" s="6">
        <f t="shared" si="3"/>
        <v>380.245</v>
      </c>
      <c r="G253" s="6">
        <f>F253/INDEX('Revision Basis'!$B$5:$B$10,MATCH(B253,'Revision Basis'!$A$5:$A$10,0))</f>
        <v>6.73</v>
      </c>
      <c r="H253" s="6">
        <f>F253/INDEX('Revision Basis'!$C$5:$C$10,MATCH(B253,'Revision Basis'!$A$5:$A$10,0))</f>
        <v>1.8091397849462365</v>
      </c>
      <c r="I253" s="6">
        <f>F253/INDEX('Revision Basis'!$D$5:$D$10,MATCH(B253,'Revision Basis'!$A$5:$A$10,0))</f>
        <v>1.1681874039938556</v>
      </c>
      <c r="J253" s="4" t="s">
        <v>11</v>
      </c>
    </row>
  </sheetData>
  <conditionalFormatting sqref="J2:J253">
    <cfRule type="expression" dxfId="0" priority="1">
      <formula>J2&lt;&gt;"No change"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/>
  </sheetViews>
  <sheetFormatPr defaultRowHeight="14"/>
  <cols>
    <col min="1" max="1" width="32" customWidth="1"/>
    <col min="2" max="2" width="80" customWidth="1"/>
    <col min="3" max="6" width="18" customWidth="1"/>
  </cols>
  <sheetData>
    <row r="1" spans="1:6" ht="28">
      <c r="A1" s="1" t="s">
        <v>55</v>
      </c>
      <c r="B1" s="1"/>
      <c r="C1" s="1"/>
      <c r="D1" s="1"/>
      <c r="E1" s="1"/>
      <c r="F1" s="1"/>
    </row>
    <row r="2" spans="1:6">
      <c r="A2" s="4" t="s">
        <v>56</v>
      </c>
      <c r="B2" s="4" t="s">
        <v>57</v>
      </c>
      <c r="C2" s="4"/>
      <c r="D2" s="4"/>
      <c r="E2" s="4"/>
      <c r="F2" s="4"/>
    </row>
    <row r="3" spans="1:6">
      <c r="A3" s="4"/>
      <c r="B3" s="4"/>
      <c r="C3" s="4"/>
      <c r="D3" s="4"/>
      <c r="E3" s="4"/>
      <c r="F3" s="4"/>
    </row>
    <row r="4" spans="1:6" ht="28">
      <c r="A4" s="2" t="s">
        <v>1</v>
      </c>
      <c r="B4" s="2" t="s">
        <v>58</v>
      </c>
      <c r="C4" s="2" t="s">
        <v>59</v>
      </c>
      <c r="D4" s="2" t="s">
        <v>60</v>
      </c>
      <c r="E4" s="2" t="s">
        <v>61</v>
      </c>
      <c r="F4" s="2" t="s">
        <v>62</v>
      </c>
    </row>
    <row r="5" spans="1:6">
      <c r="A5" s="5">
        <v>2021</v>
      </c>
      <c r="B5" s="6">
        <v>64.75</v>
      </c>
      <c r="C5" s="6">
        <v>240.87</v>
      </c>
      <c r="D5" s="6">
        <v>282</v>
      </c>
      <c r="E5" s="6">
        <v>327.94</v>
      </c>
      <c r="F5" s="6">
        <v>1.1599999999999999</v>
      </c>
    </row>
    <row r="6" spans="1:6">
      <c r="A6" s="5">
        <v>2022</v>
      </c>
      <c r="B6" s="6">
        <v>70.900000000000006</v>
      </c>
      <c r="C6" s="6">
        <v>263.75</v>
      </c>
      <c r="D6" s="6">
        <v>388</v>
      </c>
      <c r="E6" s="6">
        <v>451.5</v>
      </c>
      <c r="F6" s="6">
        <v>1.1599999999999999</v>
      </c>
    </row>
    <row r="7" spans="1:6">
      <c r="A7" s="5">
        <v>2023</v>
      </c>
      <c r="B7" s="6">
        <v>57.4</v>
      </c>
      <c r="C7" s="6">
        <v>213.53</v>
      </c>
      <c r="D7" s="6">
        <v>371.5</v>
      </c>
      <c r="E7" s="6">
        <v>432.15</v>
      </c>
      <c r="F7" s="6">
        <v>1.1599999999999999</v>
      </c>
    </row>
    <row r="8" spans="1:6">
      <c r="A8" s="5">
        <v>2024</v>
      </c>
      <c r="B8" s="6">
        <v>52.2</v>
      </c>
      <c r="C8" s="6">
        <v>194.18</v>
      </c>
      <c r="D8" s="6">
        <v>328.5</v>
      </c>
      <c r="E8" s="6">
        <v>381.91</v>
      </c>
      <c r="F8" s="6">
        <v>1.1599999999999999</v>
      </c>
    </row>
    <row r="9" spans="1:6">
      <c r="A9" s="5">
        <v>2025</v>
      </c>
      <c r="B9" s="6">
        <v>55.05</v>
      </c>
      <c r="C9" s="6">
        <v>204.79</v>
      </c>
      <c r="D9" s="6">
        <v>328.75</v>
      </c>
      <c r="E9" s="6">
        <v>381.76</v>
      </c>
      <c r="F9" s="6">
        <v>1.1599999999999999</v>
      </c>
    </row>
    <row r="10" spans="1:6">
      <c r="A10" s="5">
        <v>2026</v>
      </c>
      <c r="B10" s="6">
        <v>56.5</v>
      </c>
      <c r="C10" s="6">
        <v>210.18</v>
      </c>
      <c r="D10" s="6">
        <v>325.5</v>
      </c>
      <c r="E10" s="6">
        <v>377.86</v>
      </c>
      <c r="F10" s="6">
        <v>1.1599999999999999</v>
      </c>
    </row>
    <row r="11" spans="1:6">
      <c r="A11" s="4"/>
      <c r="B11" s="4"/>
      <c r="C11" s="4"/>
      <c r="D11" s="4"/>
      <c r="E11" s="4"/>
      <c r="F11" s="4"/>
    </row>
    <row r="12" spans="1:6">
      <c r="A12" s="3" t="s">
        <v>63</v>
      </c>
      <c r="B12" s="3"/>
      <c r="C12" s="3"/>
      <c r="D12" s="3"/>
      <c r="E12" s="3"/>
      <c r="F12" s="3"/>
    </row>
    <row r="13" spans="1:6">
      <c r="A13" s="4" t="s">
        <v>64</v>
      </c>
      <c r="B13" s="4" t="s">
        <v>65</v>
      </c>
      <c r="C13" s="4"/>
      <c r="D13" s="4"/>
      <c r="E13" s="4"/>
      <c r="F13" s="4"/>
    </row>
    <row r="14" spans="1:6" ht="28">
      <c r="A14" s="4" t="s">
        <v>66</v>
      </c>
      <c r="B14" s="4" t="s">
        <v>67</v>
      </c>
      <c r="C14" s="4"/>
      <c r="D14" s="4"/>
      <c r="E14" s="4"/>
      <c r="F14" s="4"/>
    </row>
    <row r="15" spans="1:6" ht="28">
      <c r="A15" s="4" t="s">
        <v>68</v>
      </c>
      <c r="B15" s="4" t="s">
        <v>69</v>
      </c>
      <c r="C15" s="4"/>
      <c r="D15" s="4"/>
      <c r="E15" s="4"/>
      <c r="F15" s="4"/>
    </row>
    <row r="16" spans="1:6">
      <c r="A16" s="4" t="s">
        <v>70</v>
      </c>
      <c r="B16" s="4" t="s">
        <v>71</v>
      </c>
      <c r="C16" s="4"/>
      <c r="D16" s="4"/>
      <c r="E16" s="4"/>
      <c r="F16" s="4"/>
    </row>
    <row r="17" spans="1:6" ht="28">
      <c r="A17" s="4" t="s">
        <v>72</v>
      </c>
      <c r="B17" s="4" t="s">
        <v>73</v>
      </c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 ht="28">
      <c r="A19" s="4" t="s">
        <v>74</v>
      </c>
      <c r="B19" s="4" t="s">
        <v>75</v>
      </c>
      <c r="C19" s="4"/>
      <c r="D19" s="4"/>
      <c r="E19" s="4"/>
      <c r="F19" s="4"/>
    </row>
    <row r="20" spans="1:6">
      <c r="A20" s="3"/>
      <c r="B20" s="3"/>
      <c r="C20" s="3"/>
      <c r="D20" s="3"/>
      <c r="E20" s="3"/>
      <c r="F20" s="3"/>
    </row>
    <row r="21" spans="1:6">
      <c r="A21" s="4" t="s">
        <v>76</v>
      </c>
      <c r="B21" s="4" t="s">
        <v>77</v>
      </c>
      <c r="C21" s="4" t="s">
        <v>78</v>
      </c>
      <c r="D21" s="4"/>
      <c r="E21" s="4"/>
      <c r="F21" s="4"/>
    </row>
    <row r="22" spans="1:6" ht="42">
      <c r="A22" s="4" t="s">
        <v>79</v>
      </c>
      <c r="B22" s="4" t="s">
        <v>80</v>
      </c>
      <c r="C22" s="4" t="s">
        <v>81</v>
      </c>
      <c r="D22" s="4"/>
      <c r="E22" s="4"/>
      <c r="F22" s="4"/>
    </row>
    <row r="23" spans="1:6" ht="56">
      <c r="A23" s="4" t="s">
        <v>82</v>
      </c>
      <c r="B23" s="4" t="s">
        <v>83</v>
      </c>
      <c r="C23" s="4" t="s">
        <v>84</v>
      </c>
      <c r="D23" s="4"/>
      <c r="E23" s="4"/>
      <c r="F23" s="4"/>
    </row>
    <row r="24" spans="1:6" ht="56">
      <c r="A24" s="4" t="s">
        <v>85</v>
      </c>
      <c r="B24" s="4" t="s">
        <v>86</v>
      </c>
      <c r="C24" s="4" t="s">
        <v>87</v>
      </c>
      <c r="D24" s="4"/>
      <c r="E24" s="4"/>
      <c r="F24" s="4"/>
    </row>
    <row r="25" spans="1:6" ht="84">
      <c r="A25" s="4" t="s">
        <v>88</v>
      </c>
      <c r="B25" s="4" t="s">
        <v>89</v>
      </c>
      <c r="C25" s="4" t="s">
        <v>90</v>
      </c>
      <c r="D25" s="4"/>
      <c r="E25" s="4"/>
      <c r="F25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Material Data Revised</vt:lpstr>
      <vt:lpstr>Revision Basis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Medini Kr. Bora [मेदिनी कुमार बोरा]</cp:lastModifiedBy>
  <dcterms:modified xsi:type="dcterms:W3CDTF">2026-06-26T18:34:54Z</dcterms:modified>
</cp:coreProperties>
</file>